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\Downloads\PROJECT\"/>
    </mc:Choice>
  </mc:AlternateContent>
  <bookViews>
    <workbookView xWindow="0" yWindow="0" windowWidth="20490" windowHeight="7755"/>
  </bookViews>
  <sheets>
    <sheet name="pivot table" sheetId="3" r:id="rId1"/>
    <sheet name="Students Social Media Addiction" sheetId="1" r:id="rId2"/>
  </sheets>
  <definedNames>
    <definedName name="_xlnm._FilterDatabase" localSheetId="1" hidden="1">'Students Social Media Addiction'!$V$1:$V$706</definedName>
  </definedNames>
  <calcPr calcId="152511"/>
  <pivotCaches>
    <pivotCache cacheId="0" r:id="rId3"/>
    <pivotCache cacheId="1" r:id="rId4"/>
    <pivotCache cacheId="2" r:id="rId5"/>
  </pivotCaches>
</workbook>
</file>

<file path=xl/calcChain.xml><?xml version="1.0" encoding="utf-8"?>
<calcChain xmlns="http://schemas.openxmlformats.org/spreadsheetml/2006/main">
  <c r="T706" i="1" l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N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2" i="1"/>
  <c r="Q2" i="1"/>
  <c r="V2" i="1" s="1"/>
  <c r="R3" i="1"/>
  <c r="R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Q3" i="1" l="1"/>
  <c r="V3" i="1" s="1"/>
  <c r="Q4" i="1"/>
  <c r="V4" i="1" s="1"/>
  <c r="Q5" i="1"/>
  <c r="V5" i="1" s="1"/>
  <c r="Q6" i="1"/>
  <c r="V6" i="1" s="1"/>
  <c r="Q7" i="1"/>
  <c r="V7" i="1" s="1"/>
  <c r="Q8" i="1"/>
  <c r="V8" i="1" s="1"/>
  <c r="Q9" i="1"/>
  <c r="V9" i="1" s="1"/>
  <c r="Q10" i="1"/>
  <c r="V10" i="1" s="1"/>
  <c r="Q11" i="1"/>
  <c r="V11" i="1" s="1"/>
  <c r="Q12" i="1"/>
  <c r="V12" i="1" s="1"/>
  <c r="Q13" i="1"/>
  <c r="V13" i="1" s="1"/>
  <c r="Q14" i="1"/>
  <c r="V14" i="1" s="1"/>
  <c r="Q15" i="1"/>
  <c r="V15" i="1" s="1"/>
  <c r="Q16" i="1"/>
  <c r="V16" i="1" s="1"/>
  <c r="Q17" i="1"/>
  <c r="V17" i="1" s="1"/>
  <c r="Q18" i="1"/>
  <c r="V18" i="1" s="1"/>
  <c r="Q19" i="1"/>
  <c r="V19" i="1" s="1"/>
  <c r="Q20" i="1"/>
  <c r="V20" i="1" s="1"/>
  <c r="Q21" i="1"/>
  <c r="V21" i="1" s="1"/>
  <c r="Q22" i="1"/>
  <c r="V22" i="1" s="1"/>
  <c r="Q23" i="1"/>
  <c r="V23" i="1" s="1"/>
  <c r="Q24" i="1"/>
  <c r="V24" i="1" s="1"/>
  <c r="Q25" i="1"/>
  <c r="V25" i="1" s="1"/>
  <c r="Q26" i="1"/>
  <c r="V26" i="1" s="1"/>
  <c r="Q27" i="1"/>
  <c r="V27" i="1" s="1"/>
  <c r="Q28" i="1"/>
  <c r="V28" i="1" s="1"/>
  <c r="Q29" i="1"/>
  <c r="V29" i="1" s="1"/>
  <c r="Q30" i="1"/>
  <c r="V30" i="1" s="1"/>
  <c r="Q31" i="1"/>
  <c r="V31" i="1" s="1"/>
  <c r="Q32" i="1"/>
  <c r="V32" i="1" s="1"/>
  <c r="Q33" i="1"/>
  <c r="V33" i="1" s="1"/>
  <c r="Q34" i="1"/>
  <c r="V34" i="1" s="1"/>
  <c r="Q35" i="1"/>
  <c r="V35" i="1" s="1"/>
  <c r="Q36" i="1"/>
  <c r="V36" i="1" s="1"/>
  <c r="Q37" i="1"/>
  <c r="V37" i="1" s="1"/>
  <c r="Q38" i="1"/>
  <c r="V38" i="1" s="1"/>
  <c r="Q39" i="1"/>
  <c r="V39" i="1" s="1"/>
  <c r="Q40" i="1"/>
  <c r="V40" i="1" s="1"/>
  <c r="Q41" i="1"/>
  <c r="V41" i="1" s="1"/>
  <c r="Q42" i="1"/>
  <c r="V42" i="1" s="1"/>
  <c r="Q43" i="1"/>
  <c r="V43" i="1" s="1"/>
  <c r="Q44" i="1"/>
  <c r="V44" i="1" s="1"/>
  <c r="Q45" i="1"/>
  <c r="V45" i="1" s="1"/>
  <c r="Q46" i="1"/>
  <c r="V46" i="1" s="1"/>
  <c r="Q47" i="1"/>
  <c r="V47" i="1" s="1"/>
  <c r="Q48" i="1"/>
  <c r="V48" i="1" s="1"/>
  <c r="Q49" i="1"/>
  <c r="V49" i="1" s="1"/>
  <c r="Q50" i="1"/>
  <c r="V50" i="1" s="1"/>
  <c r="Q51" i="1"/>
  <c r="V51" i="1" s="1"/>
  <c r="Q52" i="1"/>
  <c r="V52" i="1" s="1"/>
  <c r="Q53" i="1"/>
  <c r="V53" i="1" s="1"/>
  <c r="Q54" i="1"/>
  <c r="V54" i="1" s="1"/>
  <c r="Q55" i="1"/>
  <c r="V55" i="1" s="1"/>
  <c r="Q56" i="1"/>
  <c r="V56" i="1" s="1"/>
  <c r="Q57" i="1"/>
  <c r="V57" i="1" s="1"/>
  <c r="Q58" i="1"/>
  <c r="V58" i="1" s="1"/>
  <c r="Q59" i="1"/>
  <c r="V59" i="1" s="1"/>
  <c r="Q60" i="1"/>
  <c r="V60" i="1" s="1"/>
  <c r="Q61" i="1"/>
  <c r="V61" i="1" s="1"/>
  <c r="Q62" i="1"/>
  <c r="V62" i="1" s="1"/>
  <c r="Q63" i="1"/>
  <c r="V63" i="1" s="1"/>
  <c r="Q64" i="1"/>
  <c r="V64" i="1" s="1"/>
  <c r="Q65" i="1"/>
  <c r="V65" i="1" s="1"/>
  <c r="Q66" i="1"/>
  <c r="V66" i="1" s="1"/>
  <c r="Q67" i="1"/>
  <c r="V67" i="1" s="1"/>
  <c r="Q68" i="1"/>
  <c r="V68" i="1" s="1"/>
  <c r="Q69" i="1"/>
  <c r="V69" i="1" s="1"/>
  <c r="Q70" i="1"/>
  <c r="V70" i="1" s="1"/>
  <c r="Q71" i="1"/>
  <c r="V71" i="1" s="1"/>
  <c r="Q72" i="1"/>
  <c r="V72" i="1" s="1"/>
  <c r="Q73" i="1"/>
  <c r="V73" i="1" s="1"/>
  <c r="Q74" i="1"/>
  <c r="V74" i="1" s="1"/>
  <c r="Q75" i="1"/>
  <c r="V75" i="1" s="1"/>
  <c r="Q76" i="1"/>
  <c r="V76" i="1" s="1"/>
  <c r="Q77" i="1"/>
  <c r="V77" i="1" s="1"/>
  <c r="Q78" i="1"/>
  <c r="V78" i="1" s="1"/>
  <c r="Q79" i="1"/>
  <c r="V79" i="1" s="1"/>
  <c r="Q80" i="1"/>
  <c r="V80" i="1" s="1"/>
  <c r="Q81" i="1"/>
  <c r="V81" i="1" s="1"/>
  <c r="Q82" i="1"/>
  <c r="V82" i="1" s="1"/>
  <c r="Q83" i="1"/>
  <c r="V83" i="1" s="1"/>
  <c r="Q84" i="1"/>
  <c r="V84" i="1" s="1"/>
  <c r="Q85" i="1"/>
  <c r="V85" i="1" s="1"/>
  <c r="Q86" i="1"/>
  <c r="V86" i="1" s="1"/>
  <c r="Q87" i="1"/>
  <c r="V87" i="1" s="1"/>
  <c r="Q88" i="1"/>
  <c r="V88" i="1" s="1"/>
  <c r="Q89" i="1"/>
  <c r="V89" i="1" s="1"/>
  <c r="Q90" i="1"/>
  <c r="V90" i="1" s="1"/>
  <c r="Q91" i="1"/>
  <c r="V91" i="1" s="1"/>
  <c r="Q92" i="1"/>
  <c r="V92" i="1" s="1"/>
  <c r="Q93" i="1"/>
  <c r="V93" i="1" s="1"/>
  <c r="Q94" i="1"/>
  <c r="V94" i="1" s="1"/>
  <c r="Q95" i="1"/>
  <c r="V95" i="1" s="1"/>
  <c r="Q96" i="1"/>
  <c r="V96" i="1" s="1"/>
  <c r="Q97" i="1"/>
  <c r="V97" i="1" s="1"/>
  <c r="Q98" i="1"/>
  <c r="V98" i="1" s="1"/>
  <c r="Q99" i="1"/>
  <c r="V99" i="1" s="1"/>
  <c r="Q100" i="1"/>
  <c r="V100" i="1" s="1"/>
  <c r="Q101" i="1"/>
  <c r="V101" i="1" s="1"/>
  <c r="Q102" i="1"/>
  <c r="V102" i="1" s="1"/>
  <c r="Q103" i="1"/>
  <c r="V103" i="1" s="1"/>
  <c r="Q104" i="1"/>
  <c r="V104" i="1" s="1"/>
  <c r="Q105" i="1"/>
  <c r="V105" i="1" s="1"/>
  <c r="Q106" i="1"/>
  <c r="V106" i="1" s="1"/>
  <c r="Q107" i="1"/>
  <c r="V107" i="1" s="1"/>
  <c r="Q108" i="1"/>
  <c r="V108" i="1" s="1"/>
  <c r="Q109" i="1"/>
  <c r="V109" i="1" s="1"/>
  <c r="Q110" i="1"/>
  <c r="V110" i="1" s="1"/>
  <c r="Q111" i="1"/>
  <c r="V111" i="1" s="1"/>
  <c r="Q112" i="1"/>
  <c r="V112" i="1" s="1"/>
  <c r="Q113" i="1"/>
  <c r="V113" i="1" s="1"/>
  <c r="Q114" i="1"/>
  <c r="V114" i="1" s="1"/>
  <c r="Q115" i="1"/>
  <c r="V115" i="1" s="1"/>
  <c r="Q116" i="1"/>
  <c r="V116" i="1" s="1"/>
  <c r="Q117" i="1"/>
  <c r="V117" i="1" s="1"/>
  <c r="Q118" i="1"/>
  <c r="V118" i="1" s="1"/>
  <c r="Q119" i="1"/>
  <c r="V119" i="1" s="1"/>
  <c r="Q120" i="1"/>
  <c r="V120" i="1" s="1"/>
  <c r="Q121" i="1"/>
  <c r="V121" i="1" s="1"/>
  <c r="Q122" i="1"/>
  <c r="V122" i="1" s="1"/>
  <c r="Q123" i="1"/>
  <c r="V123" i="1" s="1"/>
  <c r="Q124" i="1"/>
  <c r="V124" i="1" s="1"/>
  <c r="Q125" i="1"/>
  <c r="V125" i="1" s="1"/>
  <c r="Q126" i="1"/>
  <c r="V126" i="1" s="1"/>
  <c r="Q127" i="1"/>
  <c r="V127" i="1" s="1"/>
  <c r="Q128" i="1"/>
  <c r="V128" i="1" s="1"/>
  <c r="Q129" i="1"/>
  <c r="V129" i="1" s="1"/>
  <c r="Q130" i="1"/>
  <c r="V130" i="1" s="1"/>
  <c r="Q131" i="1"/>
  <c r="V131" i="1" s="1"/>
  <c r="Q132" i="1"/>
  <c r="V132" i="1" s="1"/>
  <c r="Q133" i="1"/>
  <c r="V133" i="1" s="1"/>
  <c r="Q134" i="1"/>
  <c r="V134" i="1" s="1"/>
  <c r="Q135" i="1"/>
  <c r="V135" i="1" s="1"/>
  <c r="Q136" i="1"/>
  <c r="V136" i="1" s="1"/>
  <c r="Q137" i="1"/>
  <c r="V137" i="1" s="1"/>
  <c r="Q138" i="1"/>
  <c r="V138" i="1" s="1"/>
  <c r="Q139" i="1"/>
  <c r="V139" i="1" s="1"/>
  <c r="Q140" i="1"/>
  <c r="V140" i="1" s="1"/>
  <c r="Q141" i="1"/>
  <c r="V141" i="1" s="1"/>
  <c r="Q142" i="1"/>
  <c r="V142" i="1" s="1"/>
  <c r="Q143" i="1"/>
  <c r="V143" i="1" s="1"/>
  <c r="Q144" i="1"/>
  <c r="V144" i="1" s="1"/>
  <c r="Q145" i="1"/>
  <c r="V145" i="1" s="1"/>
  <c r="Q146" i="1"/>
  <c r="V146" i="1" s="1"/>
  <c r="Q147" i="1"/>
  <c r="V147" i="1" s="1"/>
  <c r="Q148" i="1"/>
  <c r="V148" i="1" s="1"/>
  <c r="Q149" i="1"/>
  <c r="V149" i="1" s="1"/>
  <c r="Q150" i="1"/>
  <c r="V150" i="1" s="1"/>
  <c r="Q151" i="1"/>
  <c r="V151" i="1" s="1"/>
  <c r="Q152" i="1"/>
  <c r="V152" i="1" s="1"/>
  <c r="Q153" i="1"/>
  <c r="V153" i="1" s="1"/>
  <c r="Q154" i="1"/>
  <c r="V154" i="1" s="1"/>
  <c r="Q155" i="1"/>
  <c r="V155" i="1" s="1"/>
  <c r="Q156" i="1"/>
  <c r="V156" i="1" s="1"/>
  <c r="Q157" i="1"/>
  <c r="V157" i="1" s="1"/>
  <c r="Q158" i="1"/>
  <c r="V158" i="1" s="1"/>
  <c r="Q159" i="1"/>
  <c r="V159" i="1" s="1"/>
  <c r="Q160" i="1"/>
  <c r="V160" i="1" s="1"/>
  <c r="Q161" i="1"/>
  <c r="V161" i="1" s="1"/>
  <c r="Q162" i="1"/>
  <c r="V162" i="1" s="1"/>
  <c r="Q163" i="1"/>
  <c r="V163" i="1" s="1"/>
  <c r="Q164" i="1"/>
  <c r="V164" i="1" s="1"/>
  <c r="Q165" i="1"/>
  <c r="V165" i="1" s="1"/>
  <c r="Q166" i="1"/>
  <c r="V166" i="1" s="1"/>
  <c r="Q167" i="1"/>
  <c r="V167" i="1" s="1"/>
  <c r="Q168" i="1"/>
  <c r="V168" i="1" s="1"/>
  <c r="Q169" i="1"/>
  <c r="V169" i="1" s="1"/>
  <c r="Q170" i="1"/>
  <c r="V170" i="1" s="1"/>
  <c r="Q171" i="1"/>
  <c r="V171" i="1" s="1"/>
  <c r="Q172" i="1"/>
  <c r="V172" i="1" s="1"/>
  <c r="Q173" i="1"/>
  <c r="V173" i="1" s="1"/>
  <c r="Q174" i="1"/>
  <c r="V174" i="1" s="1"/>
  <c r="Q175" i="1"/>
  <c r="V175" i="1" s="1"/>
  <c r="Q176" i="1"/>
  <c r="V176" i="1" s="1"/>
  <c r="Q177" i="1"/>
  <c r="V177" i="1" s="1"/>
  <c r="Q178" i="1"/>
  <c r="V178" i="1" s="1"/>
  <c r="Q179" i="1"/>
  <c r="V179" i="1" s="1"/>
  <c r="Q180" i="1"/>
  <c r="V180" i="1" s="1"/>
  <c r="Q181" i="1"/>
  <c r="V181" i="1" s="1"/>
  <c r="Q182" i="1"/>
  <c r="V182" i="1" s="1"/>
  <c r="Q183" i="1"/>
  <c r="V183" i="1" s="1"/>
  <c r="Q184" i="1"/>
  <c r="V184" i="1" s="1"/>
  <c r="Q185" i="1"/>
  <c r="V185" i="1" s="1"/>
  <c r="Q186" i="1"/>
  <c r="V186" i="1" s="1"/>
  <c r="Q187" i="1"/>
  <c r="V187" i="1" s="1"/>
  <c r="Q188" i="1"/>
  <c r="V188" i="1" s="1"/>
  <c r="Q189" i="1"/>
  <c r="V189" i="1" s="1"/>
  <c r="Q190" i="1"/>
  <c r="V190" i="1" s="1"/>
  <c r="Q191" i="1"/>
  <c r="V191" i="1" s="1"/>
  <c r="Q192" i="1"/>
  <c r="V192" i="1" s="1"/>
  <c r="Q193" i="1"/>
  <c r="V193" i="1" s="1"/>
  <c r="Q194" i="1"/>
  <c r="V194" i="1" s="1"/>
  <c r="Q195" i="1"/>
  <c r="V195" i="1" s="1"/>
  <c r="Q196" i="1"/>
  <c r="V196" i="1" s="1"/>
  <c r="Q197" i="1"/>
  <c r="V197" i="1" s="1"/>
  <c r="Q198" i="1"/>
  <c r="V198" i="1" s="1"/>
  <c r="Q199" i="1"/>
  <c r="V199" i="1" s="1"/>
  <c r="Q200" i="1"/>
  <c r="V200" i="1" s="1"/>
  <c r="Q201" i="1"/>
  <c r="V201" i="1" s="1"/>
  <c r="Q202" i="1"/>
  <c r="V202" i="1" s="1"/>
  <c r="Q203" i="1"/>
  <c r="V203" i="1" s="1"/>
  <c r="Q204" i="1"/>
  <c r="V204" i="1" s="1"/>
  <c r="Q205" i="1"/>
  <c r="V205" i="1" s="1"/>
  <c r="Q206" i="1"/>
  <c r="V206" i="1" s="1"/>
  <c r="Q207" i="1"/>
  <c r="V207" i="1" s="1"/>
  <c r="Q208" i="1"/>
  <c r="V208" i="1" s="1"/>
  <c r="Q209" i="1"/>
  <c r="V209" i="1" s="1"/>
  <c r="Q210" i="1"/>
  <c r="V210" i="1" s="1"/>
  <c r="Q211" i="1"/>
  <c r="V211" i="1" s="1"/>
  <c r="Q212" i="1"/>
  <c r="V212" i="1" s="1"/>
  <c r="Q213" i="1"/>
  <c r="V213" i="1" s="1"/>
  <c r="Q214" i="1"/>
  <c r="V214" i="1" s="1"/>
  <c r="Q215" i="1"/>
  <c r="V215" i="1" s="1"/>
  <c r="Q216" i="1"/>
  <c r="V216" i="1" s="1"/>
  <c r="Q217" i="1"/>
  <c r="V217" i="1" s="1"/>
  <c r="Q218" i="1"/>
  <c r="V218" i="1" s="1"/>
  <c r="Q219" i="1"/>
  <c r="V219" i="1" s="1"/>
  <c r="Q220" i="1"/>
  <c r="V220" i="1" s="1"/>
  <c r="Q221" i="1"/>
  <c r="V221" i="1" s="1"/>
  <c r="Q222" i="1"/>
  <c r="V222" i="1" s="1"/>
  <c r="Q223" i="1"/>
  <c r="V223" i="1" s="1"/>
  <c r="Q224" i="1"/>
  <c r="V224" i="1" s="1"/>
  <c r="Q225" i="1"/>
  <c r="V225" i="1" s="1"/>
  <c r="Q226" i="1"/>
  <c r="V226" i="1" s="1"/>
  <c r="Q227" i="1"/>
  <c r="V227" i="1" s="1"/>
  <c r="Q228" i="1"/>
  <c r="V228" i="1" s="1"/>
  <c r="Q229" i="1"/>
  <c r="V229" i="1" s="1"/>
  <c r="Q230" i="1"/>
  <c r="V230" i="1" s="1"/>
  <c r="Q231" i="1"/>
  <c r="V231" i="1" s="1"/>
  <c r="Q232" i="1"/>
  <c r="V232" i="1" s="1"/>
  <c r="Q233" i="1"/>
  <c r="V233" i="1" s="1"/>
  <c r="Q234" i="1"/>
  <c r="V234" i="1" s="1"/>
  <c r="Q235" i="1"/>
  <c r="V235" i="1" s="1"/>
  <c r="Q236" i="1"/>
  <c r="V236" i="1" s="1"/>
  <c r="Q237" i="1"/>
  <c r="V237" i="1" s="1"/>
  <c r="Q238" i="1"/>
  <c r="V238" i="1" s="1"/>
  <c r="Q239" i="1"/>
  <c r="V239" i="1" s="1"/>
  <c r="Q240" i="1"/>
  <c r="V240" i="1" s="1"/>
  <c r="Q241" i="1"/>
  <c r="V241" i="1" s="1"/>
  <c r="Q242" i="1"/>
  <c r="V242" i="1" s="1"/>
  <c r="Q243" i="1"/>
  <c r="V243" i="1" s="1"/>
  <c r="Q244" i="1"/>
  <c r="V244" i="1" s="1"/>
  <c r="Q245" i="1"/>
  <c r="V245" i="1" s="1"/>
  <c r="Q246" i="1"/>
  <c r="V246" i="1" s="1"/>
  <c r="Q247" i="1"/>
  <c r="V247" i="1" s="1"/>
  <c r="Q248" i="1"/>
  <c r="V248" i="1" s="1"/>
  <c r="Q249" i="1"/>
  <c r="V249" i="1" s="1"/>
  <c r="Q250" i="1"/>
  <c r="V250" i="1" s="1"/>
  <c r="Q251" i="1"/>
  <c r="V251" i="1" s="1"/>
  <c r="Q252" i="1"/>
  <c r="V252" i="1" s="1"/>
  <c r="Q253" i="1"/>
  <c r="V253" i="1" s="1"/>
  <c r="Q254" i="1"/>
  <c r="V254" i="1" s="1"/>
  <c r="Q255" i="1"/>
  <c r="V255" i="1" s="1"/>
  <c r="Q256" i="1"/>
  <c r="V256" i="1" s="1"/>
  <c r="Q257" i="1"/>
  <c r="V257" i="1" s="1"/>
  <c r="Q258" i="1"/>
  <c r="V258" i="1" s="1"/>
  <c r="Q259" i="1"/>
  <c r="V259" i="1" s="1"/>
  <c r="Q260" i="1"/>
  <c r="V260" i="1" s="1"/>
  <c r="Q261" i="1"/>
  <c r="V261" i="1" s="1"/>
  <c r="Q262" i="1"/>
  <c r="V262" i="1" s="1"/>
  <c r="Q263" i="1"/>
  <c r="V263" i="1" s="1"/>
  <c r="Q264" i="1"/>
  <c r="V264" i="1" s="1"/>
  <c r="Q265" i="1"/>
  <c r="V265" i="1" s="1"/>
  <c r="Q266" i="1"/>
  <c r="V266" i="1" s="1"/>
  <c r="Q267" i="1"/>
  <c r="V267" i="1" s="1"/>
  <c r="Q268" i="1"/>
  <c r="V268" i="1" s="1"/>
  <c r="Q269" i="1"/>
  <c r="V269" i="1" s="1"/>
  <c r="Q270" i="1"/>
  <c r="V270" i="1" s="1"/>
  <c r="Q271" i="1"/>
  <c r="V271" i="1" s="1"/>
  <c r="Q272" i="1"/>
  <c r="V272" i="1" s="1"/>
  <c r="Q273" i="1"/>
  <c r="V273" i="1" s="1"/>
  <c r="Q274" i="1"/>
  <c r="V274" i="1" s="1"/>
  <c r="Q275" i="1"/>
  <c r="V275" i="1" s="1"/>
  <c r="Q276" i="1"/>
  <c r="V276" i="1" s="1"/>
  <c r="Q277" i="1"/>
  <c r="V277" i="1" s="1"/>
  <c r="Q278" i="1"/>
  <c r="V278" i="1" s="1"/>
  <c r="Q279" i="1"/>
  <c r="V279" i="1" s="1"/>
  <c r="Q280" i="1"/>
  <c r="V280" i="1" s="1"/>
  <c r="Q281" i="1"/>
  <c r="V281" i="1" s="1"/>
  <c r="Q282" i="1"/>
  <c r="V282" i="1" s="1"/>
  <c r="Q283" i="1"/>
  <c r="V283" i="1" s="1"/>
  <c r="Q284" i="1"/>
  <c r="V284" i="1" s="1"/>
  <c r="Q285" i="1"/>
  <c r="V285" i="1" s="1"/>
  <c r="Q286" i="1"/>
  <c r="V286" i="1" s="1"/>
  <c r="Q287" i="1"/>
  <c r="V287" i="1" s="1"/>
  <c r="Q288" i="1"/>
  <c r="V288" i="1" s="1"/>
  <c r="Q289" i="1"/>
  <c r="V289" i="1" s="1"/>
  <c r="Q290" i="1"/>
  <c r="V290" i="1" s="1"/>
  <c r="Q291" i="1"/>
  <c r="V291" i="1" s="1"/>
  <c r="Q292" i="1"/>
  <c r="V292" i="1" s="1"/>
  <c r="Q293" i="1"/>
  <c r="V293" i="1" s="1"/>
  <c r="Q294" i="1"/>
  <c r="V294" i="1" s="1"/>
  <c r="Q295" i="1"/>
  <c r="V295" i="1" s="1"/>
  <c r="Q296" i="1"/>
  <c r="V296" i="1" s="1"/>
  <c r="Q297" i="1"/>
  <c r="V297" i="1" s="1"/>
  <c r="Q298" i="1"/>
  <c r="V298" i="1" s="1"/>
  <c r="Q299" i="1"/>
  <c r="V299" i="1" s="1"/>
  <c r="Q300" i="1"/>
  <c r="V300" i="1" s="1"/>
  <c r="Q301" i="1"/>
  <c r="V301" i="1" s="1"/>
  <c r="Q302" i="1"/>
  <c r="V302" i="1" s="1"/>
  <c r="Q303" i="1"/>
  <c r="V303" i="1" s="1"/>
  <c r="Q304" i="1"/>
  <c r="V304" i="1" s="1"/>
  <c r="Q305" i="1"/>
  <c r="V305" i="1" s="1"/>
  <c r="Q306" i="1"/>
  <c r="V306" i="1" s="1"/>
  <c r="Q307" i="1"/>
  <c r="V307" i="1" s="1"/>
  <c r="Q308" i="1"/>
  <c r="V308" i="1" s="1"/>
  <c r="Q309" i="1"/>
  <c r="V309" i="1" s="1"/>
  <c r="Q310" i="1"/>
  <c r="V310" i="1" s="1"/>
  <c r="Q311" i="1"/>
  <c r="V311" i="1" s="1"/>
  <c r="Q312" i="1"/>
  <c r="V312" i="1" s="1"/>
  <c r="Q313" i="1"/>
  <c r="V313" i="1" s="1"/>
  <c r="Q314" i="1"/>
  <c r="V314" i="1" s="1"/>
  <c r="Q315" i="1"/>
  <c r="V315" i="1" s="1"/>
  <c r="Q316" i="1"/>
  <c r="V316" i="1" s="1"/>
  <c r="Q317" i="1"/>
  <c r="V317" i="1" s="1"/>
  <c r="Q318" i="1"/>
  <c r="V318" i="1" s="1"/>
  <c r="Q319" i="1"/>
  <c r="V319" i="1" s="1"/>
  <c r="Q320" i="1"/>
  <c r="V320" i="1" s="1"/>
  <c r="Q321" i="1"/>
  <c r="V321" i="1" s="1"/>
  <c r="Q322" i="1"/>
  <c r="V322" i="1" s="1"/>
  <c r="Q323" i="1"/>
  <c r="V323" i="1" s="1"/>
  <c r="Q324" i="1"/>
  <c r="V324" i="1" s="1"/>
  <c r="Q325" i="1"/>
  <c r="V325" i="1" s="1"/>
  <c r="Q326" i="1"/>
  <c r="V326" i="1" s="1"/>
  <c r="Q327" i="1"/>
  <c r="V327" i="1" s="1"/>
  <c r="Q328" i="1"/>
  <c r="V328" i="1" s="1"/>
  <c r="Q329" i="1"/>
  <c r="V329" i="1" s="1"/>
  <c r="Q330" i="1"/>
  <c r="V330" i="1" s="1"/>
  <c r="Q331" i="1"/>
  <c r="V331" i="1" s="1"/>
  <c r="Q332" i="1"/>
  <c r="V332" i="1" s="1"/>
  <c r="Q333" i="1"/>
  <c r="V333" i="1" s="1"/>
  <c r="Q334" i="1"/>
  <c r="V334" i="1" s="1"/>
  <c r="Q335" i="1"/>
  <c r="V335" i="1" s="1"/>
  <c r="Q336" i="1"/>
  <c r="V336" i="1" s="1"/>
  <c r="Q337" i="1"/>
  <c r="V337" i="1" s="1"/>
  <c r="Q338" i="1"/>
  <c r="V338" i="1" s="1"/>
  <c r="Q339" i="1"/>
  <c r="V339" i="1" s="1"/>
  <c r="Q340" i="1"/>
  <c r="V340" i="1" s="1"/>
  <c r="Q341" i="1"/>
  <c r="V341" i="1" s="1"/>
  <c r="Q342" i="1"/>
  <c r="V342" i="1" s="1"/>
  <c r="Q343" i="1"/>
  <c r="V343" i="1" s="1"/>
  <c r="Q344" i="1"/>
  <c r="V344" i="1" s="1"/>
  <c r="Q345" i="1"/>
  <c r="V345" i="1" s="1"/>
  <c r="Q346" i="1"/>
  <c r="V346" i="1" s="1"/>
  <c r="Q347" i="1"/>
  <c r="V347" i="1" s="1"/>
  <c r="Q348" i="1"/>
  <c r="V348" i="1" s="1"/>
  <c r="Q349" i="1"/>
  <c r="V349" i="1" s="1"/>
  <c r="Q350" i="1"/>
  <c r="V350" i="1" s="1"/>
  <c r="Q351" i="1"/>
  <c r="V351" i="1" s="1"/>
  <c r="Q352" i="1"/>
  <c r="V352" i="1" s="1"/>
  <c r="Q353" i="1"/>
  <c r="V353" i="1" s="1"/>
  <c r="Q354" i="1"/>
  <c r="V354" i="1" s="1"/>
  <c r="Q355" i="1"/>
  <c r="V355" i="1" s="1"/>
  <c r="Q356" i="1"/>
  <c r="V356" i="1" s="1"/>
  <c r="Q357" i="1"/>
  <c r="V357" i="1" s="1"/>
  <c r="Q358" i="1"/>
  <c r="V358" i="1" s="1"/>
  <c r="Q359" i="1"/>
  <c r="V359" i="1" s="1"/>
  <c r="Q360" i="1"/>
  <c r="V360" i="1" s="1"/>
  <c r="Q361" i="1"/>
  <c r="V361" i="1" s="1"/>
  <c r="Q362" i="1"/>
  <c r="V362" i="1" s="1"/>
  <c r="Q363" i="1"/>
  <c r="V363" i="1" s="1"/>
  <c r="Q364" i="1"/>
  <c r="V364" i="1" s="1"/>
  <c r="Q365" i="1"/>
  <c r="V365" i="1" s="1"/>
  <c r="Q366" i="1"/>
  <c r="V366" i="1" s="1"/>
  <c r="Q367" i="1"/>
  <c r="V367" i="1" s="1"/>
  <c r="Q368" i="1"/>
  <c r="V368" i="1" s="1"/>
  <c r="Q369" i="1"/>
  <c r="V369" i="1" s="1"/>
  <c r="Q370" i="1"/>
  <c r="V370" i="1" s="1"/>
  <c r="Q371" i="1"/>
  <c r="V371" i="1" s="1"/>
  <c r="Q372" i="1"/>
  <c r="V372" i="1" s="1"/>
  <c r="Q373" i="1"/>
  <c r="V373" i="1" s="1"/>
  <c r="Q374" i="1"/>
  <c r="V374" i="1" s="1"/>
  <c r="Q375" i="1"/>
  <c r="V375" i="1" s="1"/>
  <c r="Q376" i="1"/>
  <c r="V376" i="1" s="1"/>
  <c r="Q377" i="1"/>
  <c r="V377" i="1" s="1"/>
  <c r="Q378" i="1"/>
  <c r="V378" i="1" s="1"/>
  <c r="Q379" i="1"/>
  <c r="V379" i="1" s="1"/>
  <c r="Q380" i="1"/>
  <c r="V380" i="1" s="1"/>
  <c r="Q381" i="1"/>
  <c r="V381" i="1" s="1"/>
  <c r="Q382" i="1"/>
  <c r="V382" i="1" s="1"/>
  <c r="Q383" i="1"/>
  <c r="V383" i="1" s="1"/>
  <c r="Q384" i="1"/>
  <c r="V384" i="1" s="1"/>
  <c r="Q385" i="1"/>
  <c r="V385" i="1" s="1"/>
  <c r="Q386" i="1"/>
  <c r="V386" i="1" s="1"/>
  <c r="Q387" i="1"/>
  <c r="V387" i="1" s="1"/>
  <c r="Q388" i="1"/>
  <c r="V388" i="1" s="1"/>
  <c r="Q389" i="1"/>
  <c r="V389" i="1" s="1"/>
  <c r="Q390" i="1"/>
  <c r="V390" i="1" s="1"/>
  <c r="Q391" i="1"/>
  <c r="V391" i="1" s="1"/>
  <c r="Q392" i="1"/>
  <c r="V392" i="1" s="1"/>
  <c r="Q393" i="1"/>
  <c r="V393" i="1" s="1"/>
  <c r="Q394" i="1"/>
  <c r="V394" i="1" s="1"/>
  <c r="Q395" i="1"/>
  <c r="V395" i="1" s="1"/>
  <c r="Q396" i="1"/>
  <c r="V396" i="1" s="1"/>
  <c r="Q397" i="1"/>
  <c r="V397" i="1" s="1"/>
  <c r="Q398" i="1"/>
  <c r="V398" i="1" s="1"/>
  <c r="Q399" i="1"/>
  <c r="V399" i="1" s="1"/>
  <c r="Q400" i="1"/>
  <c r="V400" i="1" s="1"/>
  <c r="Q401" i="1"/>
  <c r="V401" i="1" s="1"/>
  <c r="Q402" i="1"/>
  <c r="V402" i="1" s="1"/>
  <c r="Q403" i="1"/>
  <c r="V403" i="1" s="1"/>
  <c r="Q404" i="1"/>
  <c r="V404" i="1" s="1"/>
  <c r="Q405" i="1"/>
  <c r="V405" i="1" s="1"/>
  <c r="Q406" i="1"/>
  <c r="V406" i="1" s="1"/>
  <c r="Q407" i="1"/>
  <c r="V407" i="1" s="1"/>
  <c r="Q408" i="1"/>
  <c r="V408" i="1" s="1"/>
  <c r="Q409" i="1"/>
  <c r="V409" i="1" s="1"/>
  <c r="Q410" i="1"/>
  <c r="V410" i="1" s="1"/>
  <c r="Q411" i="1"/>
  <c r="V411" i="1" s="1"/>
  <c r="Q412" i="1"/>
  <c r="V412" i="1" s="1"/>
  <c r="Q413" i="1"/>
  <c r="V413" i="1" s="1"/>
  <c r="Q414" i="1"/>
  <c r="V414" i="1" s="1"/>
  <c r="Q415" i="1"/>
  <c r="V415" i="1" s="1"/>
  <c r="Q416" i="1"/>
  <c r="V416" i="1" s="1"/>
  <c r="Q417" i="1"/>
  <c r="V417" i="1" s="1"/>
  <c r="Q418" i="1"/>
  <c r="V418" i="1" s="1"/>
  <c r="Q419" i="1"/>
  <c r="V419" i="1" s="1"/>
  <c r="Q420" i="1"/>
  <c r="V420" i="1" s="1"/>
  <c r="Q421" i="1"/>
  <c r="V421" i="1" s="1"/>
  <c r="Q422" i="1"/>
  <c r="V422" i="1" s="1"/>
  <c r="Q423" i="1"/>
  <c r="V423" i="1" s="1"/>
  <c r="Q424" i="1"/>
  <c r="V424" i="1" s="1"/>
  <c r="Q425" i="1"/>
  <c r="V425" i="1" s="1"/>
  <c r="Q426" i="1"/>
  <c r="V426" i="1" s="1"/>
  <c r="Q427" i="1"/>
  <c r="V427" i="1" s="1"/>
  <c r="Q428" i="1"/>
  <c r="V428" i="1" s="1"/>
  <c r="Q429" i="1"/>
  <c r="V429" i="1" s="1"/>
  <c r="Q430" i="1"/>
  <c r="V430" i="1" s="1"/>
  <c r="Q431" i="1"/>
  <c r="V431" i="1" s="1"/>
  <c r="Q432" i="1"/>
  <c r="V432" i="1" s="1"/>
  <c r="Q433" i="1"/>
  <c r="V433" i="1" s="1"/>
  <c r="Q434" i="1"/>
  <c r="V434" i="1" s="1"/>
  <c r="Q435" i="1"/>
  <c r="V435" i="1" s="1"/>
  <c r="Q436" i="1"/>
  <c r="V436" i="1" s="1"/>
  <c r="Q437" i="1"/>
  <c r="V437" i="1" s="1"/>
  <c r="Q438" i="1"/>
  <c r="V438" i="1" s="1"/>
  <c r="Q439" i="1"/>
  <c r="V439" i="1" s="1"/>
  <c r="Q440" i="1"/>
  <c r="V440" i="1" s="1"/>
  <c r="Q441" i="1"/>
  <c r="V441" i="1" s="1"/>
  <c r="Q442" i="1"/>
  <c r="V442" i="1" s="1"/>
  <c r="Q443" i="1"/>
  <c r="V443" i="1" s="1"/>
  <c r="Q444" i="1"/>
  <c r="V444" i="1" s="1"/>
  <c r="Q445" i="1"/>
  <c r="V445" i="1" s="1"/>
  <c r="Q446" i="1"/>
  <c r="V446" i="1" s="1"/>
  <c r="Q447" i="1"/>
  <c r="V447" i="1" s="1"/>
  <c r="Q448" i="1"/>
  <c r="V448" i="1" s="1"/>
  <c r="Q449" i="1"/>
  <c r="V449" i="1" s="1"/>
  <c r="Q450" i="1"/>
  <c r="V450" i="1" s="1"/>
  <c r="Q451" i="1"/>
  <c r="V451" i="1" s="1"/>
  <c r="Q452" i="1"/>
  <c r="V452" i="1" s="1"/>
  <c r="Q453" i="1"/>
  <c r="V453" i="1" s="1"/>
  <c r="Q454" i="1"/>
  <c r="V454" i="1" s="1"/>
  <c r="Q455" i="1"/>
  <c r="V455" i="1" s="1"/>
  <c r="Q456" i="1"/>
  <c r="V456" i="1" s="1"/>
  <c r="Q457" i="1"/>
  <c r="V457" i="1" s="1"/>
  <c r="Q458" i="1"/>
  <c r="V458" i="1" s="1"/>
  <c r="Q459" i="1"/>
  <c r="V459" i="1" s="1"/>
  <c r="Q460" i="1"/>
  <c r="V460" i="1" s="1"/>
  <c r="Q461" i="1"/>
  <c r="V461" i="1" s="1"/>
  <c r="Q462" i="1"/>
  <c r="V462" i="1" s="1"/>
  <c r="Q463" i="1"/>
  <c r="V463" i="1" s="1"/>
  <c r="Q464" i="1"/>
  <c r="V464" i="1" s="1"/>
  <c r="Q465" i="1"/>
  <c r="V465" i="1" s="1"/>
  <c r="Q466" i="1"/>
  <c r="V466" i="1" s="1"/>
  <c r="Q467" i="1"/>
  <c r="V467" i="1" s="1"/>
  <c r="Q468" i="1"/>
  <c r="V468" i="1" s="1"/>
  <c r="Q469" i="1"/>
  <c r="V469" i="1" s="1"/>
  <c r="Q470" i="1"/>
  <c r="V470" i="1" s="1"/>
  <c r="Q471" i="1"/>
  <c r="V471" i="1" s="1"/>
  <c r="Q472" i="1"/>
  <c r="V472" i="1" s="1"/>
  <c r="Q473" i="1"/>
  <c r="V473" i="1" s="1"/>
  <c r="Q474" i="1"/>
  <c r="V474" i="1" s="1"/>
  <c r="Q475" i="1"/>
  <c r="V475" i="1" s="1"/>
  <c r="Q476" i="1"/>
  <c r="V476" i="1" s="1"/>
  <c r="Q477" i="1"/>
  <c r="V477" i="1" s="1"/>
  <c r="Q478" i="1"/>
  <c r="V478" i="1" s="1"/>
  <c r="Q479" i="1"/>
  <c r="V479" i="1" s="1"/>
  <c r="Q480" i="1"/>
  <c r="V480" i="1" s="1"/>
  <c r="Q481" i="1"/>
  <c r="V481" i="1" s="1"/>
  <c r="Q482" i="1"/>
  <c r="V482" i="1" s="1"/>
  <c r="Q483" i="1"/>
  <c r="V483" i="1" s="1"/>
  <c r="Q484" i="1"/>
  <c r="V484" i="1" s="1"/>
  <c r="Q485" i="1"/>
  <c r="V485" i="1" s="1"/>
  <c r="Q486" i="1"/>
  <c r="V486" i="1" s="1"/>
  <c r="Q487" i="1"/>
  <c r="V487" i="1" s="1"/>
  <c r="Q488" i="1"/>
  <c r="V488" i="1" s="1"/>
  <c r="Q489" i="1"/>
  <c r="V489" i="1" s="1"/>
  <c r="Q490" i="1"/>
  <c r="V490" i="1" s="1"/>
  <c r="Q491" i="1"/>
  <c r="V491" i="1" s="1"/>
  <c r="Q492" i="1"/>
  <c r="V492" i="1" s="1"/>
  <c r="Q493" i="1"/>
  <c r="V493" i="1" s="1"/>
  <c r="Q494" i="1"/>
  <c r="V494" i="1" s="1"/>
  <c r="Q495" i="1"/>
  <c r="V495" i="1" s="1"/>
  <c r="Q496" i="1"/>
  <c r="V496" i="1" s="1"/>
  <c r="Q497" i="1"/>
  <c r="V497" i="1" s="1"/>
  <c r="Q498" i="1"/>
  <c r="V498" i="1" s="1"/>
  <c r="Q499" i="1"/>
  <c r="V499" i="1" s="1"/>
  <c r="Q500" i="1"/>
  <c r="V500" i="1" s="1"/>
  <c r="Q501" i="1"/>
  <c r="V501" i="1" s="1"/>
  <c r="Q502" i="1"/>
  <c r="V502" i="1" s="1"/>
  <c r="Q503" i="1"/>
  <c r="V503" i="1" s="1"/>
  <c r="Q504" i="1"/>
  <c r="V504" i="1" s="1"/>
  <c r="Q505" i="1"/>
  <c r="V505" i="1" s="1"/>
  <c r="Q506" i="1"/>
  <c r="V506" i="1" s="1"/>
  <c r="Q507" i="1"/>
  <c r="V507" i="1" s="1"/>
  <c r="Q508" i="1"/>
  <c r="V508" i="1" s="1"/>
  <c r="Q509" i="1"/>
  <c r="V509" i="1" s="1"/>
  <c r="Q510" i="1"/>
  <c r="V510" i="1" s="1"/>
  <c r="Q511" i="1"/>
  <c r="V511" i="1" s="1"/>
  <c r="Q512" i="1"/>
  <c r="V512" i="1" s="1"/>
  <c r="Q513" i="1"/>
  <c r="V513" i="1" s="1"/>
  <c r="Q514" i="1"/>
  <c r="V514" i="1" s="1"/>
  <c r="Q515" i="1"/>
  <c r="V515" i="1" s="1"/>
  <c r="Q516" i="1"/>
  <c r="V516" i="1" s="1"/>
  <c r="Q517" i="1"/>
  <c r="V517" i="1" s="1"/>
  <c r="Q518" i="1"/>
  <c r="V518" i="1" s="1"/>
  <c r="Q519" i="1"/>
  <c r="V519" i="1" s="1"/>
  <c r="Q520" i="1"/>
  <c r="V520" i="1" s="1"/>
  <c r="Q521" i="1"/>
  <c r="V521" i="1" s="1"/>
  <c r="Q522" i="1"/>
  <c r="V522" i="1" s="1"/>
  <c r="Q523" i="1"/>
  <c r="V523" i="1" s="1"/>
  <c r="Q524" i="1"/>
  <c r="V524" i="1" s="1"/>
  <c r="Q525" i="1"/>
  <c r="V525" i="1" s="1"/>
  <c r="Q526" i="1"/>
  <c r="V526" i="1" s="1"/>
  <c r="Q527" i="1"/>
  <c r="V527" i="1" s="1"/>
  <c r="Q528" i="1"/>
  <c r="V528" i="1" s="1"/>
  <c r="Q529" i="1"/>
  <c r="V529" i="1" s="1"/>
  <c r="Q530" i="1"/>
  <c r="V530" i="1" s="1"/>
  <c r="Q531" i="1"/>
  <c r="V531" i="1" s="1"/>
  <c r="Q532" i="1"/>
  <c r="V532" i="1" s="1"/>
  <c r="Q533" i="1"/>
  <c r="V533" i="1" s="1"/>
  <c r="Q534" i="1"/>
  <c r="V534" i="1" s="1"/>
  <c r="Q535" i="1"/>
  <c r="V535" i="1" s="1"/>
  <c r="Q536" i="1"/>
  <c r="V536" i="1" s="1"/>
  <c r="Q537" i="1"/>
  <c r="V537" i="1" s="1"/>
  <c r="Q538" i="1"/>
  <c r="V538" i="1" s="1"/>
  <c r="Q539" i="1"/>
  <c r="V539" i="1" s="1"/>
  <c r="Q540" i="1"/>
  <c r="V540" i="1" s="1"/>
  <c r="Q541" i="1"/>
  <c r="V541" i="1" s="1"/>
  <c r="Q542" i="1"/>
  <c r="V542" i="1" s="1"/>
  <c r="Q543" i="1"/>
  <c r="V543" i="1" s="1"/>
  <c r="Q544" i="1"/>
  <c r="V544" i="1" s="1"/>
  <c r="Q545" i="1"/>
  <c r="V545" i="1" s="1"/>
  <c r="Q546" i="1"/>
  <c r="V546" i="1" s="1"/>
  <c r="Q547" i="1"/>
  <c r="V547" i="1" s="1"/>
  <c r="Q548" i="1"/>
  <c r="V548" i="1" s="1"/>
  <c r="Q549" i="1"/>
  <c r="V549" i="1" s="1"/>
  <c r="Q550" i="1"/>
  <c r="V550" i="1" s="1"/>
  <c r="Q551" i="1"/>
  <c r="V551" i="1" s="1"/>
  <c r="Q552" i="1"/>
  <c r="V552" i="1" s="1"/>
  <c r="Q553" i="1"/>
  <c r="V553" i="1" s="1"/>
  <c r="Q554" i="1"/>
  <c r="V554" i="1" s="1"/>
  <c r="Q555" i="1"/>
  <c r="V555" i="1" s="1"/>
  <c r="Q556" i="1"/>
  <c r="V556" i="1" s="1"/>
  <c r="Q557" i="1"/>
  <c r="V557" i="1" s="1"/>
  <c r="Q558" i="1"/>
  <c r="V558" i="1" s="1"/>
  <c r="Q559" i="1"/>
  <c r="V559" i="1" s="1"/>
  <c r="Q560" i="1"/>
  <c r="V560" i="1" s="1"/>
  <c r="Q561" i="1"/>
  <c r="V561" i="1" s="1"/>
  <c r="Q562" i="1"/>
  <c r="V562" i="1" s="1"/>
  <c r="Q563" i="1"/>
  <c r="V563" i="1" s="1"/>
  <c r="Q564" i="1"/>
  <c r="V564" i="1" s="1"/>
  <c r="Q565" i="1"/>
  <c r="V565" i="1" s="1"/>
  <c r="Q566" i="1"/>
  <c r="V566" i="1" s="1"/>
  <c r="Q567" i="1"/>
  <c r="V567" i="1" s="1"/>
  <c r="Q568" i="1"/>
  <c r="V568" i="1" s="1"/>
  <c r="Q569" i="1"/>
  <c r="V569" i="1" s="1"/>
  <c r="Q570" i="1"/>
  <c r="V570" i="1" s="1"/>
  <c r="Q571" i="1"/>
  <c r="V571" i="1" s="1"/>
  <c r="Q572" i="1"/>
  <c r="V572" i="1" s="1"/>
  <c r="Q573" i="1"/>
  <c r="V573" i="1" s="1"/>
  <c r="Q574" i="1"/>
  <c r="V574" i="1" s="1"/>
  <c r="Q575" i="1"/>
  <c r="V575" i="1" s="1"/>
  <c r="Q576" i="1"/>
  <c r="V576" i="1" s="1"/>
  <c r="Q577" i="1"/>
  <c r="V577" i="1" s="1"/>
  <c r="Q578" i="1"/>
  <c r="V578" i="1" s="1"/>
  <c r="Q579" i="1"/>
  <c r="V579" i="1" s="1"/>
  <c r="Q580" i="1"/>
  <c r="V580" i="1" s="1"/>
  <c r="Q581" i="1"/>
  <c r="V581" i="1" s="1"/>
  <c r="Q582" i="1"/>
  <c r="V582" i="1" s="1"/>
  <c r="Q583" i="1"/>
  <c r="V583" i="1" s="1"/>
  <c r="Q584" i="1"/>
  <c r="V584" i="1" s="1"/>
  <c r="Q585" i="1"/>
  <c r="V585" i="1" s="1"/>
  <c r="Q586" i="1"/>
  <c r="V586" i="1" s="1"/>
  <c r="Q587" i="1"/>
  <c r="V587" i="1" s="1"/>
  <c r="Q588" i="1"/>
  <c r="V588" i="1" s="1"/>
  <c r="Q589" i="1"/>
  <c r="V589" i="1" s="1"/>
  <c r="Q590" i="1"/>
  <c r="V590" i="1" s="1"/>
  <c r="Q591" i="1"/>
  <c r="V591" i="1" s="1"/>
  <c r="Q592" i="1"/>
  <c r="V592" i="1" s="1"/>
  <c r="Q593" i="1"/>
  <c r="V593" i="1" s="1"/>
  <c r="Q594" i="1"/>
  <c r="V594" i="1" s="1"/>
  <c r="Q595" i="1"/>
  <c r="V595" i="1" s="1"/>
  <c r="Q596" i="1"/>
  <c r="V596" i="1" s="1"/>
  <c r="Q597" i="1"/>
  <c r="V597" i="1" s="1"/>
  <c r="Q598" i="1"/>
  <c r="V598" i="1" s="1"/>
  <c r="Q599" i="1"/>
  <c r="V599" i="1" s="1"/>
  <c r="Q600" i="1"/>
  <c r="V600" i="1" s="1"/>
  <c r="Q601" i="1"/>
  <c r="V601" i="1" s="1"/>
  <c r="Q602" i="1"/>
  <c r="V602" i="1" s="1"/>
  <c r="Q603" i="1"/>
  <c r="V603" i="1" s="1"/>
  <c r="Q604" i="1"/>
  <c r="V604" i="1" s="1"/>
  <c r="Q605" i="1"/>
  <c r="V605" i="1" s="1"/>
  <c r="Q606" i="1"/>
  <c r="V606" i="1" s="1"/>
  <c r="Q607" i="1"/>
  <c r="V607" i="1" s="1"/>
  <c r="Q608" i="1"/>
  <c r="V608" i="1" s="1"/>
  <c r="Q609" i="1"/>
  <c r="V609" i="1" s="1"/>
  <c r="Q610" i="1"/>
  <c r="V610" i="1" s="1"/>
  <c r="Q611" i="1"/>
  <c r="V611" i="1" s="1"/>
  <c r="Q612" i="1"/>
  <c r="V612" i="1" s="1"/>
  <c r="Q613" i="1"/>
  <c r="V613" i="1" s="1"/>
  <c r="Q614" i="1"/>
  <c r="V614" i="1" s="1"/>
  <c r="Q615" i="1"/>
  <c r="V615" i="1" s="1"/>
  <c r="Q616" i="1"/>
  <c r="V616" i="1" s="1"/>
  <c r="Q617" i="1"/>
  <c r="V617" i="1" s="1"/>
  <c r="Q618" i="1"/>
  <c r="V618" i="1" s="1"/>
  <c r="Q619" i="1"/>
  <c r="V619" i="1" s="1"/>
  <c r="Q620" i="1"/>
  <c r="V620" i="1" s="1"/>
  <c r="Q621" i="1"/>
  <c r="V621" i="1" s="1"/>
  <c r="Q622" i="1"/>
  <c r="V622" i="1" s="1"/>
  <c r="Q623" i="1"/>
  <c r="V623" i="1" s="1"/>
  <c r="Q624" i="1"/>
  <c r="V624" i="1" s="1"/>
  <c r="Q625" i="1"/>
  <c r="V625" i="1" s="1"/>
  <c r="Q626" i="1"/>
  <c r="V626" i="1" s="1"/>
  <c r="Q627" i="1"/>
  <c r="V627" i="1" s="1"/>
  <c r="Q628" i="1"/>
  <c r="V628" i="1" s="1"/>
  <c r="Q629" i="1"/>
  <c r="V629" i="1" s="1"/>
  <c r="Q630" i="1"/>
  <c r="V630" i="1" s="1"/>
  <c r="Q631" i="1"/>
  <c r="V631" i="1" s="1"/>
  <c r="Q632" i="1"/>
  <c r="V632" i="1" s="1"/>
  <c r="Q633" i="1"/>
  <c r="V633" i="1" s="1"/>
  <c r="Q634" i="1"/>
  <c r="V634" i="1" s="1"/>
  <c r="Q635" i="1"/>
  <c r="V635" i="1" s="1"/>
  <c r="Q636" i="1"/>
  <c r="V636" i="1" s="1"/>
  <c r="Q637" i="1"/>
  <c r="V637" i="1" s="1"/>
  <c r="Q638" i="1"/>
  <c r="V638" i="1" s="1"/>
  <c r="Q639" i="1"/>
  <c r="V639" i="1" s="1"/>
  <c r="Q640" i="1"/>
  <c r="V640" i="1" s="1"/>
  <c r="Q641" i="1"/>
  <c r="V641" i="1" s="1"/>
  <c r="Q642" i="1"/>
  <c r="V642" i="1" s="1"/>
  <c r="Q643" i="1"/>
  <c r="V643" i="1" s="1"/>
  <c r="Q644" i="1"/>
  <c r="V644" i="1" s="1"/>
  <c r="Q645" i="1"/>
  <c r="V645" i="1" s="1"/>
  <c r="Q646" i="1"/>
  <c r="V646" i="1" s="1"/>
  <c r="Q647" i="1"/>
  <c r="V647" i="1" s="1"/>
  <c r="Q648" i="1"/>
  <c r="V648" i="1" s="1"/>
  <c r="Q649" i="1"/>
  <c r="V649" i="1" s="1"/>
  <c r="Q650" i="1"/>
  <c r="V650" i="1" s="1"/>
  <c r="Q651" i="1"/>
  <c r="V651" i="1" s="1"/>
  <c r="Q652" i="1"/>
  <c r="V652" i="1" s="1"/>
  <c r="Q653" i="1"/>
  <c r="V653" i="1" s="1"/>
  <c r="Q654" i="1"/>
  <c r="V654" i="1" s="1"/>
  <c r="Q655" i="1"/>
  <c r="V655" i="1" s="1"/>
  <c r="Q656" i="1"/>
  <c r="V656" i="1" s="1"/>
  <c r="Q657" i="1"/>
  <c r="V657" i="1" s="1"/>
  <c r="Q658" i="1"/>
  <c r="V658" i="1" s="1"/>
  <c r="Q659" i="1"/>
  <c r="V659" i="1" s="1"/>
  <c r="Q660" i="1"/>
  <c r="V660" i="1" s="1"/>
  <c r="Q661" i="1"/>
  <c r="V661" i="1" s="1"/>
  <c r="Q662" i="1"/>
  <c r="V662" i="1" s="1"/>
  <c r="Q663" i="1"/>
  <c r="V663" i="1" s="1"/>
  <c r="Q664" i="1"/>
  <c r="V664" i="1" s="1"/>
  <c r="Q665" i="1"/>
  <c r="V665" i="1" s="1"/>
  <c r="Q666" i="1"/>
  <c r="V666" i="1" s="1"/>
  <c r="Q667" i="1"/>
  <c r="V667" i="1" s="1"/>
  <c r="Q668" i="1"/>
  <c r="V668" i="1" s="1"/>
  <c r="Q669" i="1"/>
  <c r="V669" i="1" s="1"/>
  <c r="Q670" i="1"/>
  <c r="V670" i="1" s="1"/>
  <c r="Q671" i="1"/>
  <c r="V671" i="1" s="1"/>
  <c r="Q672" i="1"/>
  <c r="V672" i="1" s="1"/>
  <c r="Q673" i="1"/>
  <c r="V673" i="1" s="1"/>
  <c r="Q674" i="1"/>
  <c r="V674" i="1" s="1"/>
  <c r="Q675" i="1"/>
  <c r="V675" i="1" s="1"/>
  <c r="Q676" i="1"/>
  <c r="V676" i="1" s="1"/>
  <c r="Q677" i="1"/>
  <c r="V677" i="1" s="1"/>
  <c r="Q678" i="1"/>
  <c r="V678" i="1" s="1"/>
  <c r="Q679" i="1"/>
  <c r="V679" i="1" s="1"/>
  <c r="Q680" i="1"/>
  <c r="V680" i="1" s="1"/>
  <c r="Q681" i="1"/>
  <c r="V681" i="1" s="1"/>
  <c r="Q682" i="1"/>
  <c r="V682" i="1" s="1"/>
  <c r="Q683" i="1"/>
  <c r="V683" i="1" s="1"/>
  <c r="Q684" i="1"/>
  <c r="V684" i="1" s="1"/>
  <c r="Q685" i="1"/>
  <c r="V685" i="1" s="1"/>
  <c r="Q686" i="1"/>
  <c r="V686" i="1" s="1"/>
  <c r="Q687" i="1"/>
  <c r="V687" i="1" s="1"/>
  <c r="Q688" i="1"/>
  <c r="V688" i="1" s="1"/>
  <c r="Q689" i="1"/>
  <c r="V689" i="1" s="1"/>
  <c r="Q690" i="1"/>
  <c r="V690" i="1" s="1"/>
  <c r="Q691" i="1"/>
  <c r="V691" i="1" s="1"/>
  <c r="Q692" i="1"/>
  <c r="V692" i="1" s="1"/>
  <c r="Q693" i="1"/>
  <c r="V693" i="1" s="1"/>
  <c r="Q694" i="1"/>
  <c r="V694" i="1" s="1"/>
  <c r="Q695" i="1"/>
  <c r="V695" i="1" s="1"/>
  <c r="Q696" i="1"/>
  <c r="V696" i="1" s="1"/>
  <c r="Q697" i="1"/>
  <c r="V697" i="1" s="1"/>
  <c r="Q698" i="1"/>
  <c r="V698" i="1" s="1"/>
  <c r="Q699" i="1"/>
  <c r="V699" i="1" s="1"/>
  <c r="Q700" i="1"/>
  <c r="V700" i="1" s="1"/>
  <c r="Q701" i="1"/>
  <c r="V701" i="1" s="1"/>
  <c r="Q702" i="1"/>
  <c r="V702" i="1" s="1"/>
  <c r="Q703" i="1"/>
  <c r="V703" i="1" s="1"/>
  <c r="Q704" i="1"/>
  <c r="V704" i="1" s="1"/>
  <c r="Q705" i="1"/>
  <c r="V705" i="1" s="1"/>
  <c r="Q706" i="1"/>
  <c r="V706" i="1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</calcChain>
</file>

<file path=xl/sharedStrings.xml><?xml version="1.0" encoding="utf-8"?>
<sst xmlns="http://schemas.openxmlformats.org/spreadsheetml/2006/main" count="4283" uniqueCount="164">
  <si>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</si>
  <si>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</si>
  <si>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</si>
  <si>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</si>
  <si>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</si>
  <si>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</si>
  <si>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</si>
  <si>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</si>
  <si>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</si>
  <si>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</si>
  <si>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</si>
  <si>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</si>
  <si>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</si>
  <si>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</si>
  <si>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</si>
  <si>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</si>
  <si>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</si>
  <si>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</si>
  <si>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</si>
  <si>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</si>
  <si>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</si>
  <si>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</si>
  <si>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</si>
  <si>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</si>
  <si>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</si>
  <si>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</si>
  <si>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</si>
  <si>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</si>
  <si>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</si>
  <si>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</si>
  <si>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</si>
  <si>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</si>
  <si>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</si>
  <si>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</si>
  <si>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</si>
  <si>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</si>
  <si>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</si>
  <si>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</si>
  <si>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</si>
  <si>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</si>
  <si>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</si>
  <si>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</si>
  <si>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</si>
  <si>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</si>
  <si>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</si>
  <si>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</si>
  <si>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</si>
  <si>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</si>
  <si>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</si>
  <si>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</si>
  <si>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</si>
  <si>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</si>
  <si>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</si>
  <si>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</si>
  <si>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</si>
  <si>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</si>
  <si>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</si>
  <si>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</si>
  <si>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</si>
  <si>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</si>
  <si>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</si>
  <si>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</si>
  <si>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</si>
  <si>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</si>
  <si>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</si>
  <si>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</si>
  <si>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</si>
  <si>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</si>
  <si>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</si>
  <si>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</si>
  <si>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</si>
  <si>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</si>
  <si>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</si>
  <si>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</si>
  <si>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</si>
  <si>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</si>
  <si>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</si>
  <si>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</si>
  <si>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</si>
  <si>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</si>
  <si>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</si>
  <si>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</si>
  <si>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</si>
  <si>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</si>
  <si>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</si>
  <si>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</si>
  <si>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</si>
  <si>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</si>
  <si>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</si>
  <si>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</si>
  <si>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</si>
  <si>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</si>
  <si>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</si>
  <si>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</si>
  <si>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</si>
  <si>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</si>
  <si>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</si>
  <si>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</si>
  <si>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</si>
  <si>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</si>
  <si>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</si>
  <si>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</si>
  <si>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</si>
  <si>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</si>
  <si>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</si>
  <si>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</si>
  <si>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</si>
  <si>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</si>
  <si>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</si>
  <si>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</si>
  <si>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</si>
  <si>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</si>
  <si>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</si>
  <si>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</si>
  <si>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</si>
  <si>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</si>
  <si>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</si>
  <si>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</si>
  <si>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</si>
  <si>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</si>
  <si>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</si>
  <si>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</si>
  <si>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</si>
  <si>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</si>
  <si>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</si>
  <si>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</si>
  <si>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</si>
  <si>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</si>
  <si>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</si>
  <si>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</si>
  <si>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</si>
  <si>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</si>
  <si>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</si>
  <si>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</si>
  <si>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</si>
  <si>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</si>
  <si>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</si>
  <si>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</si>
  <si>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</si>
  <si>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</si>
  <si>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</si>
  <si>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</si>
  <si>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</si>
  <si>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</si>
  <si>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</si>
  <si>
    <t>proper platform</t>
  </si>
  <si>
    <t>Counting specific alphapets in a row</t>
  </si>
  <si>
    <t>sleep level</t>
  </si>
  <si>
    <t>addition scenario</t>
  </si>
  <si>
    <t>dditcted level</t>
  </si>
  <si>
    <t>platform</t>
  </si>
  <si>
    <t>Grand Total</t>
  </si>
  <si>
    <t>addition scenario high</t>
  </si>
  <si>
    <t>Sum of Avg_Daily_Usage_Hours</t>
  </si>
  <si>
    <t>Sum of Sleep_Hours_Per_Night</t>
  </si>
  <si>
    <t>Count of Student_ID</t>
  </si>
  <si>
    <t>medium</t>
  </si>
  <si>
    <t>Low</t>
  </si>
  <si>
    <t>Medium</t>
  </si>
  <si>
    <t>TRUE</t>
  </si>
  <si>
    <t>Sum of Mental_Health_Score</t>
  </si>
  <si>
    <t>education</t>
  </si>
  <si>
    <t>level</t>
  </si>
  <si>
    <t>STUDENT SOCIAL MEDIA ADDICTION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</si>
</sst>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4" tint="-0.249977111117893"/>
      <name val="Calibri"/>
      <family val="2"/>
      <scheme val="minor"/>
    </font>
    <font>
      <sz val="11"/>
      <color theme="2" tint="-0.74999237037263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8" fillId="33" borderId="0" xfId="0" applyFont="1" applyFill="1"/>
    <xf numFmtId="0" fontId="0" fillId="33" borderId="0" xfId="0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" refreshedDate="46046.443552199074" createdVersion="5" refreshedVersion="5" minRefreshableVersion="3" recordCount="705">
  <cacheSource type="worksheet">
    <worksheetSource ref="A1:V706" sheet="Students Social Media Addiction"/>
  </cacheSource>
  <cacheFields count="22">
    <cacheField name="Student_ID" numFmtId="0">
      <sharedItems containsSemiMixedTypes="0" containsString="0" containsNumber="1" containsInteger="1" minValue="1" maxValue="705"/>
    </cacheField>
    <cacheField name="Age" numFmtId="0">
      <sharedItems containsSemiMixedTypes="0" containsString="0" containsNumber="1" containsInteger="1" minValue="18" maxValue="24"/>
    </cacheField>
    <cacheField name="Gender" numFmtId="0">
      <sharedItems/>
    </cacheField>
    <cacheField name="Academic_Level" numFmtId="0">
      <sharedItems count="3">
        <s v="Undergraduate"/>
        <s v="Graduate"/>
        <s v="High School"/>
      </sharedItems>
    </cacheField>
    <cacheField name="Country" numFmtId="0">
      <sharedItems/>
    </cacheField>
    <cacheField name="Avg_Daily_Usage_Hours" numFmtId="0">
      <sharedItems containsSemiMixedTypes="0" containsString="0" containsNumber="1" minValue="1.5" maxValue="8.5"/>
    </cacheField>
    <cacheField name="Most_Used_Platform" numFmtId="0">
      <sharedItems/>
    </cacheField>
    <cacheField name="Affects_Academic_Performance" numFmtId="0">
      <sharedItems/>
    </cacheField>
    <cacheField name="Sleep_Hours_Per_Night" numFmtId="0">
      <sharedItems containsSemiMixedTypes="0" containsString="0" containsNumber="1" minValue="3.8" maxValue="9.6"/>
    </cacheField>
    <cacheField name="Mental_Health_Score" numFmtId="0">
      <sharedItems containsSemiMixedTypes="0" containsString="0" containsNumber="1" containsInteger="1" minValue="4" maxValue="9"/>
    </cacheField>
    <cacheField name="Relationship_Status" numFmtId="0">
      <sharedItems/>
    </cacheField>
    <cacheField name="Conflicts_Over_Social_Media" numFmtId="0">
      <sharedItems containsSemiMixedTypes="0" containsString="0" containsNumber="1" containsInteger="1" minValue="0" maxValue="5"/>
    </cacheField>
    <cacheField name="Addicted_Score" numFmtId="0">
      <sharedItems containsSemiMixedTypes="0" containsString="0" containsNumber="1" containsInteger="1" minValue="2" maxValue="9"/>
    </cacheField>
    <cacheField name="proper platform" numFmtId="0">
      <sharedItems/>
    </cacheField>
    <cacheField name="Counting specific alphapets in a row" numFmtId="0">
      <sharedItems containsSemiMixedTypes="0" containsString="0" containsNumber="1" containsInteger="1" minValue="0" maxValue="3"/>
    </cacheField>
    <cacheField name="proper platform2" numFmtId="0">
      <sharedItems/>
    </cacheField>
    <cacheField name="sleep level" numFmtId="0">
      <sharedItems/>
    </cacheField>
    <cacheField name="addition scenario" numFmtId="0">
      <sharedItems/>
    </cacheField>
    <cacheField name="dditcted level" numFmtId="0">
      <sharedItems/>
    </cacheField>
    <cacheField name="proper platform3" numFmtId="0">
      <sharedItems/>
    </cacheField>
    <cacheField name="Avg_Daily_Usage_Hours2" numFmtId="0">
      <sharedItems containsSemiMixedTypes="0" containsString="0" containsNumber="1" minValue="1.5" maxValue="8.5"/>
    </cacheField>
    <cacheField name="addition scenario hig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i" refreshedDate="46046.44895208333" createdVersion="5" refreshedVersion="5" minRefreshableVersion="3" recordCount="705">
  <cacheSource type="worksheet">
    <worksheetSource ref="A1:V706" sheet="Students Social Media Addiction"/>
  </cacheSource>
  <cacheFields count="22">
    <cacheField name="Student_ID" numFmtId="0">
      <sharedItems containsSemiMixedTypes="0" containsString="0" containsNumber="1" containsInteger="1" minValue="1" maxValue="705"/>
    </cacheField>
    <cacheField name="Age" numFmtId="0">
      <sharedItems containsSemiMixedTypes="0" containsString="0" containsNumber="1" containsInteger="1" minValue="18" maxValue="24"/>
    </cacheField>
    <cacheField name="Gender" numFmtId="0">
      <sharedItems/>
    </cacheField>
    <cacheField name="Academic_Level" numFmtId="0">
      <sharedItems/>
    </cacheField>
    <cacheField name="Country" numFmtId="0">
      <sharedItems/>
    </cacheField>
    <cacheField name="Avg_Daily_Usage_Hours" numFmtId="0">
      <sharedItems containsSemiMixedTypes="0" containsString="0" containsNumber="1" minValue="1.5" maxValue="8.5"/>
    </cacheField>
    <cacheField name="Most_Used_Platform" numFmtId="0">
      <sharedItems count="12">
        <s v="Instagram"/>
        <s v="Twitter"/>
        <s v="TikTok"/>
        <s v="YouTube"/>
        <s v="Facebook"/>
        <s v="LinkedIn"/>
        <s v="Snapchat"/>
        <s v="LINE"/>
        <s v="KakaoTalk"/>
        <s v="VKontakte"/>
        <s v="WhatsApp"/>
        <s v="WeChat"/>
      </sharedItems>
    </cacheField>
    <cacheField name="Affects_Academic_Performance" numFmtId="0">
      <sharedItems/>
    </cacheField>
    <cacheField name="Sleep_Hours_Per_Night" numFmtId="0">
      <sharedItems containsSemiMixedTypes="0" containsString="0" containsNumber="1" minValue="3.8" maxValue="9.6"/>
    </cacheField>
    <cacheField name="Mental_Health_Score" numFmtId="0">
      <sharedItems containsSemiMixedTypes="0" containsString="0" containsNumber="1" containsInteger="1" minValue="4" maxValue="9"/>
    </cacheField>
    <cacheField name="Relationship_Status" numFmtId="0">
      <sharedItems/>
    </cacheField>
    <cacheField name="Conflicts_Over_Social_Media" numFmtId="0">
      <sharedItems containsSemiMixedTypes="0" containsString="0" containsNumber="1" containsInteger="1" minValue="0" maxValue="5"/>
    </cacheField>
    <cacheField name="Addicted_Score" numFmtId="0">
      <sharedItems containsSemiMixedTypes="0" containsString="0" containsNumber="1" containsInteger="1" minValue="2" maxValue="9"/>
    </cacheField>
    <cacheField name="proper platform" numFmtId="0">
      <sharedItems/>
    </cacheField>
    <cacheField name="Counting specific alphapets in a row" numFmtId="0">
      <sharedItems containsSemiMixedTypes="0" containsString="0" containsNumber="1" containsInteger="1" minValue="0" maxValue="3"/>
    </cacheField>
    <cacheField name="proper platform2" numFmtId="0">
      <sharedItems/>
    </cacheField>
    <cacheField name="sleep level" numFmtId="0">
      <sharedItems/>
    </cacheField>
    <cacheField name="addition scenario" numFmtId="0">
      <sharedItems/>
    </cacheField>
    <cacheField name="dditcted level" numFmtId="0">
      <sharedItems/>
    </cacheField>
    <cacheField name="proper platform3" numFmtId="0">
      <sharedItems/>
    </cacheField>
    <cacheField name="Avg_Daily_Usage_Hours2" numFmtId="0">
      <sharedItems containsSemiMixedTypes="0" containsString="0" containsNumber="1" minValue="1.5" maxValue="8.5"/>
    </cacheField>
    <cacheField name="addition scenario hig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i" refreshedDate="46046.450476967591" createdVersion="5" refreshedVersion="5" minRefreshableVersion="3" recordCount="705">
  <cacheSource type="worksheet">
    <worksheetSource ref="A1:V706" sheet="Students Social Media Addiction"/>
  </cacheSource>
  <cacheFields count="22">
    <cacheField name="Student_ID" numFmtId="0">
      <sharedItems containsSemiMixedTypes="0" containsString="0" containsNumber="1" containsInteger="1" minValue="1" maxValue="705"/>
    </cacheField>
    <cacheField name="Age" numFmtId="0">
      <sharedItems containsSemiMixedTypes="0" containsString="0" containsNumber="1" containsInteger="1" minValue="18" maxValue="24"/>
    </cacheField>
    <cacheField name="Gender" numFmtId="0">
      <sharedItems/>
    </cacheField>
    <cacheField name="Academic_Level" numFmtId="0">
      <sharedItems/>
    </cacheField>
    <cacheField name="Country" numFmtId="0">
      <sharedItems/>
    </cacheField>
    <cacheField name="Avg_Daily_Usage_Hours" numFmtId="0">
      <sharedItems containsSemiMixedTypes="0" containsString="0" containsNumber="1" minValue="1.5" maxValue="8.5"/>
    </cacheField>
    <cacheField name="Most_Used_Platform" numFmtId="0">
      <sharedItems/>
    </cacheField>
    <cacheField name="Affects_Academic_Performance" numFmtId="0">
      <sharedItems/>
    </cacheField>
    <cacheField name="Sleep_Hours_Per_Night" numFmtId="0">
      <sharedItems containsSemiMixedTypes="0" containsString="0" containsNumber="1" minValue="3.8" maxValue="9.6"/>
    </cacheField>
    <cacheField name="Mental_Health_Score" numFmtId="0">
      <sharedItems containsSemiMixedTypes="0" containsString="0" containsNumber="1" containsInteger="1" minValue="4" maxValue="9"/>
    </cacheField>
    <cacheField name="Relationship_Status" numFmtId="0">
      <sharedItems/>
    </cacheField>
    <cacheField name="Conflicts_Over_Social_Media" numFmtId="0">
      <sharedItems containsSemiMixedTypes="0" containsString="0" containsNumber="1" containsInteger="1" minValue="0" maxValue="5"/>
    </cacheField>
    <cacheField name="Addicted_Score" numFmtId="0">
      <sharedItems containsSemiMixedTypes="0" containsString="0" containsNumber="1" containsInteger="1" minValue="2" maxValue="9"/>
    </cacheField>
    <cacheField name="proper platform" numFmtId="0">
      <sharedItems/>
    </cacheField>
    <cacheField name="Counting specific alphapets in a row" numFmtId="0">
      <sharedItems containsSemiMixedTypes="0" containsString="0" containsNumber="1" containsInteger="1" minValue="0" maxValue="3"/>
    </cacheField>
    <cacheField name="proper platform2" numFmtId="0">
      <sharedItems/>
    </cacheField>
    <cacheField name="sleep level" numFmtId="0">
      <sharedItems/>
    </cacheField>
    <cacheField name="addition scenario" numFmtId="0">
      <sharedItems count="2">
        <b v="1"/>
        <s v="medium"/>
      </sharedItems>
    </cacheField>
    <cacheField name="dditcted level" numFmtId="0">
      <sharedItems count="3">
        <s v="High"/>
        <s v="Low"/>
        <s v="Medium"/>
      </sharedItems>
    </cacheField>
    <cacheField name="proper platform3" numFmtId="0">
      <sharedItems count="8">
        <s v="8"/>
        <s v="3"/>
        <s v="9"/>
        <s v="4"/>
        <s v="7"/>
        <s v="2"/>
        <s v="5"/>
        <s v="6"/>
      </sharedItems>
    </cacheField>
    <cacheField name="Avg_Daily_Usage_Hours2" numFmtId="0">
      <sharedItems containsSemiMixedTypes="0" containsString="0" containsNumber="1" minValue="1.5" maxValue="8.5"/>
    </cacheField>
    <cacheField name="addition scenario hig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5">
  <r>
    <n v="1"/>
    <n v="19"/>
    <s v="Female"/>
    <x v="0"/>
    <s v="Bangladesh"/>
    <n v="5.2"/>
    <s v="Instagram"/>
    <s v="Yes"/>
    <n v="6.5"/>
    <n v="6"/>
    <s v="In Relationship"/>
    <n v="3"/>
    <n v="8"/>
    <s v="Instagram"/>
    <n v="1"/>
    <s v="6.5"/>
    <s v="OK"/>
    <b v="1"/>
    <s v="High"/>
    <s v="8"/>
    <n v="8.5"/>
    <b v="1"/>
  </r>
  <r>
    <n v="2"/>
    <n v="22"/>
    <s v="Male"/>
    <x v="1"/>
    <s v="India"/>
    <n v="2.1"/>
    <s v="Twitter"/>
    <s v="No"/>
    <n v="7.5"/>
    <n v="8"/>
    <s v="Single"/>
    <n v="0"/>
    <n v="3"/>
    <s v="Twitter"/>
    <n v="3"/>
    <s v="7.5"/>
    <s v="OK"/>
    <s v="medium"/>
    <s v="Low"/>
    <s v="3"/>
    <n v="8.4"/>
    <b v="1"/>
  </r>
  <r>
    <n v="3"/>
    <n v="20"/>
    <s v="Female"/>
    <x v="0"/>
    <s v="USA"/>
    <n v="6"/>
    <s v="TikTok"/>
    <s v="Yes"/>
    <n v="5"/>
    <n v="5"/>
    <s v="Complicated"/>
    <n v="4"/>
    <n v="9"/>
    <s v="Tiktok"/>
    <n v="2"/>
    <s v="5"/>
    <s v="OK"/>
    <b v="1"/>
    <s v="High"/>
    <s v="9"/>
    <n v="8.3000000000000007"/>
    <b v="1"/>
  </r>
  <r>
    <n v="4"/>
    <n v="18"/>
    <s v="Male"/>
    <x v="2"/>
    <s v="UK"/>
    <n v="3"/>
    <s v="YouTube"/>
    <s v="No"/>
    <n v="7"/>
    <n v="7"/>
    <s v="Single"/>
    <n v="1"/>
    <n v="4"/>
    <s v="Youtube"/>
    <n v="1"/>
    <s v="7"/>
    <s v="OK"/>
    <s v="medium"/>
    <s v="Low"/>
    <s v="4"/>
    <n v="8.1999999999999993"/>
    <b v="1"/>
  </r>
  <r>
    <n v="5"/>
    <n v="21"/>
    <s v="Male"/>
    <x v="1"/>
    <s v="Canada"/>
    <n v="4.5"/>
    <s v="Facebook"/>
    <s v="Yes"/>
    <n v="6"/>
    <n v="6"/>
    <s v="In Relationship"/>
    <n v="2"/>
    <n v="7"/>
    <s v="Facebook"/>
    <n v="0"/>
    <s v="6"/>
    <s v="OK"/>
    <b v="1"/>
    <s v="High"/>
    <s v="7"/>
    <n v="8.1"/>
    <b v="1"/>
  </r>
  <r>
    <n v="6"/>
    <n v="19"/>
    <s v="Female"/>
    <x v="0"/>
    <s v="Australia"/>
    <n v="7.2"/>
    <s v="Instagram"/>
    <s v="Yes"/>
    <n v="4.5"/>
    <n v="4"/>
    <s v="Complicated"/>
    <n v="5"/>
    <n v="9"/>
    <s v="Instagram"/>
    <n v="1"/>
    <s v="4.5"/>
    <s v="LESS SLEEP"/>
    <b v="1"/>
    <s v="High"/>
    <s v="9"/>
    <n v="8"/>
    <b v="1"/>
  </r>
  <r>
    <n v="7"/>
    <n v="23"/>
    <s v="Male"/>
    <x v="1"/>
    <s v="Germany"/>
    <n v="1.5"/>
    <s v="LinkedIn"/>
    <s v="No"/>
    <n v="8"/>
    <n v="9"/>
    <s v="Single"/>
    <n v="0"/>
    <n v="2"/>
    <s v="Linkedin"/>
    <n v="0"/>
    <s v="8"/>
    <s v="OK"/>
    <s v="medium"/>
    <s v="Low"/>
    <s v="2"/>
    <n v="7.9"/>
    <b v="1"/>
  </r>
  <r>
    <n v="8"/>
    <n v="20"/>
    <s v="Female"/>
    <x v="0"/>
    <s v="Brazil"/>
    <n v="5.8"/>
    <s v="Snapchat"/>
    <s v="Yes"/>
    <n v="6"/>
    <n v="6"/>
    <s v="In Relationship"/>
    <n v="2"/>
    <n v="8"/>
    <s v="Snapchat"/>
    <n v="1"/>
    <s v="6"/>
    <s v="OK"/>
    <b v="1"/>
    <s v="High"/>
    <s v="8"/>
    <n v="7.8"/>
    <b v="1"/>
  </r>
  <r>
    <n v="9"/>
    <n v="18"/>
    <s v="Male"/>
    <x v="2"/>
    <s v="Japan"/>
    <n v="4"/>
    <s v="TikTok"/>
    <s v="No"/>
    <n v="6.5"/>
    <n v="7"/>
    <s v="Single"/>
    <n v="1"/>
    <n v="5"/>
    <s v="Tiktok"/>
    <n v="2"/>
    <s v="6.5"/>
    <s v="OK"/>
    <s v="medium"/>
    <s v="Medium"/>
    <s v="5"/>
    <n v="7.7"/>
    <b v="1"/>
  </r>
  <r>
    <n v="10"/>
    <n v="21"/>
    <s v="Female"/>
    <x v="1"/>
    <s v="South Korea"/>
    <n v="3.3"/>
    <s v="Instagram"/>
    <s v="No"/>
    <n v="7"/>
    <n v="7"/>
    <s v="In Relationship"/>
    <n v="1"/>
    <n v="4"/>
    <s v="Instagram"/>
    <n v="1"/>
    <s v="7"/>
    <s v="OK"/>
    <s v="medium"/>
    <s v="Low"/>
    <s v="4"/>
    <n v="7.6"/>
    <b v="1"/>
  </r>
  <r>
    <n v="11"/>
    <n v="19"/>
    <s v="Male"/>
    <x v="0"/>
    <s v="France"/>
    <n v="4.8"/>
    <s v="Snapchat"/>
    <s v="Yes"/>
    <n v="6.2"/>
    <n v="5"/>
    <s v="Complicated"/>
    <n v="3"/>
    <n v="7"/>
    <s v="Snapchat"/>
    <n v="1"/>
    <s v="6.2"/>
    <s v="OK"/>
    <b v="1"/>
    <s v="High"/>
    <s v="7"/>
    <n v="7.5"/>
    <b v="1"/>
  </r>
  <r>
    <n v="12"/>
    <n v="20"/>
    <s v="Female"/>
    <x v="0"/>
    <s v="Spain"/>
    <n v="5.5"/>
    <s v="TikTok"/>
    <s v="Yes"/>
    <n v="5.8"/>
    <n v="6"/>
    <s v="In Relationship"/>
    <n v="2"/>
    <n v="8"/>
    <s v="Tiktok"/>
    <n v="2"/>
    <s v="5.8"/>
    <s v="OK"/>
    <b v="1"/>
    <s v="High"/>
    <s v="8"/>
    <n v="7.5"/>
    <b v="1"/>
  </r>
  <r>
    <n v="13"/>
    <n v="22"/>
    <s v="Male"/>
    <x v="1"/>
    <s v="Italy"/>
    <n v="2.8"/>
    <s v="LinkedIn"/>
    <s v="No"/>
    <n v="7.2"/>
    <n v="8"/>
    <s v="Single"/>
    <n v="1"/>
    <n v="4"/>
    <s v="Linkedin"/>
    <n v="0"/>
    <s v="7.2"/>
    <s v="OK"/>
    <s v="medium"/>
    <s v="Low"/>
    <s v="4"/>
    <n v="7.4"/>
    <b v="1"/>
  </r>
  <r>
    <n v="14"/>
    <n v="18"/>
    <s v="Female"/>
    <x v="2"/>
    <s v="Mexico"/>
    <n v="6.5"/>
    <s v="Instagram"/>
    <s v="Yes"/>
    <n v="5.5"/>
    <n v="5"/>
    <s v="Single"/>
    <n v="4"/>
    <n v="9"/>
    <s v="Instagram"/>
    <n v="1"/>
    <s v="5.5"/>
    <s v="OK"/>
    <b v="1"/>
    <s v="High"/>
    <s v="9"/>
    <n v="7.4"/>
    <b v="1"/>
  </r>
  <r>
    <n v="15"/>
    <n v="21"/>
    <s v="Male"/>
    <x v="0"/>
    <s v="Russia"/>
    <n v="3.7"/>
    <s v="YouTube"/>
    <s v="No"/>
    <n v="6.8"/>
    <n v="7"/>
    <s v="In Relationship"/>
    <n v="2"/>
    <n v="5"/>
    <s v="Youtube"/>
    <n v="1"/>
    <s v="6.8"/>
    <s v="OK"/>
    <s v="medium"/>
    <s v="Medium"/>
    <s v="5"/>
    <n v="7.4"/>
    <b v="1"/>
  </r>
  <r>
    <n v="16"/>
    <n v="20"/>
    <s v="Female"/>
    <x v="0"/>
    <s v="China"/>
    <n v="4.2"/>
    <s v="TikTok"/>
    <s v="Yes"/>
    <n v="6"/>
    <n v="6"/>
    <s v="Complicated"/>
    <n v="3"/>
    <n v="7"/>
    <s v="Tiktok"/>
    <n v="2"/>
    <s v="6"/>
    <s v="OK"/>
    <b v="1"/>
    <s v="High"/>
    <s v="7"/>
    <n v="7.3"/>
    <b v="1"/>
  </r>
  <r>
    <n v="17"/>
    <n v="24"/>
    <s v="Male"/>
    <x v="1"/>
    <s v="Sweden"/>
    <n v="2"/>
    <s v="LinkedIn"/>
    <s v="No"/>
    <n v="7.8"/>
    <n v="8"/>
    <s v="Single"/>
    <n v="0"/>
    <n v="3"/>
    <s v="Linkedin"/>
    <n v="0"/>
    <s v="7.8"/>
    <s v="OK"/>
    <s v="medium"/>
    <s v="Low"/>
    <s v="3"/>
    <n v="7.3"/>
    <b v="1"/>
  </r>
  <r>
    <n v="18"/>
    <n v="19"/>
    <s v="Female"/>
    <x v="2"/>
    <s v="Norway"/>
    <n v="5"/>
    <s v="Instagram"/>
    <s v="Yes"/>
    <n v="5.7"/>
    <n v="5"/>
    <s v="In Relationship"/>
    <n v="3"/>
    <n v="8"/>
    <s v="Instagram"/>
    <n v="1"/>
    <s v="5.7"/>
    <s v="OK"/>
    <b v="1"/>
    <s v="High"/>
    <s v="8"/>
    <n v="7.3"/>
    <b v="1"/>
  </r>
  <r>
    <n v="19"/>
    <n v="21"/>
    <s v="Male"/>
    <x v="0"/>
    <s v="Denmark"/>
    <n v="3.5"/>
    <s v="Facebook"/>
    <s v="No"/>
    <n v="6.7"/>
    <n v="7"/>
    <s v="Single"/>
    <n v="1"/>
    <n v="5"/>
    <s v="Facebook"/>
    <n v="0"/>
    <s v="6.7"/>
    <s v="OK"/>
    <s v="medium"/>
    <s v="Medium"/>
    <s v="5"/>
    <n v="7.3"/>
    <b v="1"/>
  </r>
  <r>
    <n v="20"/>
    <n v="20"/>
    <s v="Female"/>
    <x v="0"/>
    <s v="Netherlands"/>
    <n v="4.7"/>
    <s v="Snapchat"/>
    <s v="Yes"/>
    <n v="5.9"/>
    <n v="6"/>
    <s v="Complicated"/>
    <n v="3"/>
    <n v="7"/>
    <s v="Snapchat"/>
    <n v="1"/>
    <s v="5.9"/>
    <s v="OK"/>
    <b v="1"/>
    <s v="High"/>
    <s v="7"/>
    <n v="7.2"/>
    <b v="1"/>
  </r>
  <r>
    <n v="21"/>
    <n v="18"/>
    <s v="Male"/>
    <x v="2"/>
    <s v="Belgium"/>
    <n v="5.3"/>
    <s v="TikTok"/>
    <s v="Yes"/>
    <n v="5.5"/>
    <n v="5"/>
    <s v="Single"/>
    <n v="4"/>
    <n v="8"/>
    <s v="Tiktok"/>
    <n v="2"/>
    <s v="5.5"/>
    <s v="OK"/>
    <b v="1"/>
    <s v="High"/>
    <s v="8"/>
    <n v="7.2"/>
    <b v="1"/>
  </r>
  <r>
    <n v="22"/>
    <n v="23"/>
    <s v="Female"/>
    <x v="1"/>
    <s v="Switzerland"/>
    <n v="2.5"/>
    <s v="LinkedIn"/>
    <s v="No"/>
    <n v="7.3"/>
    <n v="8"/>
    <s v="In Relationship"/>
    <n v="1"/>
    <n v="4"/>
    <s v="Linkedin"/>
    <n v="0"/>
    <s v="7.3"/>
    <s v="OK"/>
    <s v="medium"/>
    <s v="Low"/>
    <s v="4"/>
    <n v="7.2"/>
    <b v="1"/>
  </r>
  <r>
    <n v="23"/>
    <n v="19"/>
    <s v="Male"/>
    <x v="0"/>
    <s v="Austria"/>
    <n v="4.9000000000000004"/>
    <s v="Instagram"/>
    <s v="Yes"/>
    <n v="5.8"/>
    <n v="6"/>
    <s v="Complicated"/>
    <n v="3"/>
    <n v="7"/>
    <s v="Instagram"/>
    <n v="1"/>
    <s v="5.8"/>
    <s v="OK"/>
    <b v="1"/>
    <s v="High"/>
    <s v="7"/>
    <n v="7.2"/>
    <b v="1"/>
  </r>
  <r>
    <n v="24"/>
    <n v="20"/>
    <s v="Female"/>
    <x v="0"/>
    <s v="Portugal"/>
    <n v="5.7"/>
    <s v="TikTok"/>
    <s v="Yes"/>
    <n v="5.4"/>
    <n v="5"/>
    <s v="Single"/>
    <n v="4"/>
    <n v="8"/>
    <s v="Tiktok"/>
    <n v="2"/>
    <s v="5.4"/>
    <s v="OK"/>
    <b v="1"/>
    <s v="High"/>
    <s v="8"/>
    <n v="7.2"/>
    <b v="1"/>
  </r>
  <r>
    <n v="25"/>
    <n v="22"/>
    <s v="Male"/>
    <x v="1"/>
    <s v="Greece"/>
    <n v="3.2"/>
    <s v="Facebook"/>
    <s v="No"/>
    <n v="6.9"/>
    <n v="7"/>
    <s v="In Relationship"/>
    <n v="2"/>
    <n v="5"/>
    <s v="Facebook"/>
    <n v="0"/>
    <s v="6.9"/>
    <s v="OK"/>
    <s v="medium"/>
    <s v="Medium"/>
    <s v="5"/>
    <n v="7.2"/>
    <b v="1"/>
  </r>
  <r>
    <n v="26"/>
    <n v="19"/>
    <s v="Female"/>
    <x v="2"/>
    <s v="Ireland"/>
    <n v="6.1"/>
    <s v="Instagram"/>
    <s v="Yes"/>
    <n v="5.2"/>
    <n v="5"/>
    <s v="Complicated"/>
    <n v="4"/>
    <n v="9"/>
    <s v="Instagram"/>
    <n v="1"/>
    <s v="5.2"/>
    <s v="OK"/>
    <b v="1"/>
    <s v="High"/>
    <s v="9"/>
    <n v="7.2"/>
    <b v="1"/>
  </r>
  <r>
    <n v="27"/>
    <n v="21"/>
    <s v="Male"/>
    <x v="0"/>
    <s v="New Zealand"/>
    <n v="3.8"/>
    <s v="YouTube"/>
    <s v="No"/>
    <n v="6.6"/>
    <n v="7"/>
    <s v="Single"/>
    <n v="1"/>
    <n v="5"/>
    <s v="Youtube"/>
    <n v="1"/>
    <s v="6.6"/>
    <s v="OK"/>
    <s v="medium"/>
    <s v="Medium"/>
    <s v="5"/>
    <n v="7.2"/>
    <b v="1"/>
  </r>
  <r>
    <n v="28"/>
    <n v="20"/>
    <s v="Female"/>
    <x v="0"/>
    <s v="Singapore"/>
    <n v="4.4000000000000004"/>
    <s v="TikTok"/>
    <s v="Yes"/>
    <n v="5.9"/>
    <n v="6"/>
    <s v="In Relationship"/>
    <n v="3"/>
    <n v="7"/>
    <s v="Tiktok"/>
    <n v="2"/>
    <s v="5.9"/>
    <s v="OK"/>
    <b v="1"/>
    <s v="High"/>
    <s v="7"/>
    <n v="7.1"/>
    <b v="1"/>
  </r>
  <r>
    <n v="29"/>
    <n v="24"/>
    <s v="Male"/>
    <x v="1"/>
    <s v="Malaysia"/>
    <n v="2.2000000000000002"/>
    <s v="LinkedIn"/>
    <s v="No"/>
    <n v="7.4"/>
    <n v="8"/>
    <s v="Single"/>
    <n v="0"/>
    <n v="3"/>
    <s v="Linkedin"/>
    <n v="0"/>
    <s v="7.4"/>
    <s v="OK"/>
    <s v="medium"/>
    <s v="Low"/>
    <s v="3"/>
    <n v="7.1"/>
    <b v="1"/>
  </r>
  <r>
    <n v="30"/>
    <n v="19"/>
    <s v="Female"/>
    <x v="2"/>
    <s v="Thailand"/>
    <n v="5.9"/>
    <s v="Instagram"/>
    <s v="Yes"/>
    <n v="5.3"/>
    <n v="5"/>
    <s v="Complicated"/>
    <n v="4"/>
    <n v="8"/>
    <s v="Instagram"/>
    <n v="1"/>
    <s v="5.3"/>
    <s v="OK"/>
    <b v="1"/>
    <s v="High"/>
    <s v="8"/>
    <n v="7.1"/>
    <b v="1"/>
  </r>
  <r>
    <n v="31"/>
    <n v="21"/>
    <s v="Male"/>
    <x v="0"/>
    <s v="Vietnam"/>
    <n v="3.6"/>
    <s v="Facebook"/>
    <s v="No"/>
    <n v="6.7"/>
    <n v="7"/>
    <s v="Single"/>
    <n v="1"/>
    <n v="5"/>
    <s v="Facebook"/>
    <n v="0"/>
    <s v="6.7"/>
    <s v="OK"/>
    <s v="medium"/>
    <s v="Medium"/>
    <s v="5"/>
    <n v="7.1"/>
    <b v="1"/>
  </r>
  <r>
    <n v="32"/>
    <n v="20"/>
    <s v="Female"/>
    <x v="0"/>
    <s v="Philippines"/>
    <n v="4.8"/>
    <s v="Snapchat"/>
    <s v="Yes"/>
    <n v="5.7"/>
    <n v="6"/>
    <s v="In Relationship"/>
    <n v="3"/>
    <n v="7"/>
    <s v="Snapchat"/>
    <n v="1"/>
    <s v="5.7"/>
    <s v="OK"/>
    <b v="1"/>
    <s v="High"/>
    <s v="7"/>
    <n v="7.1"/>
    <b v="1"/>
  </r>
  <r>
    <n v="33"/>
    <n v="18"/>
    <s v="Male"/>
    <x v="2"/>
    <s v="Indonesia"/>
    <n v="5.4"/>
    <s v="TikTok"/>
    <s v="Yes"/>
    <n v="5.4"/>
    <n v="5"/>
    <s v="Complicated"/>
    <n v="4"/>
    <n v="8"/>
    <s v="Tiktok"/>
    <n v="2"/>
    <s v="5.4"/>
    <s v="OK"/>
    <b v="1"/>
    <s v="High"/>
    <s v="8"/>
    <n v="7.1"/>
    <b v="1"/>
  </r>
  <r>
    <n v="34"/>
    <n v="23"/>
    <s v="Female"/>
    <x v="1"/>
    <s v="Taiwan"/>
    <n v="2.6"/>
    <s v="LinkedIn"/>
    <s v="No"/>
    <n v="7.2"/>
    <n v="8"/>
    <s v="Single"/>
    <n v="1"/>
    <n v="4"/>
    <s v="Linkedin"/>
    <n v="0"/>
    <s v="7.2"/>
    <s v="OK"/>
    <s v="medium"/>
    <s v="Low"/>
    <s v="4"/>
    <n v="7.1"/>
    <b v="1"/>
  </r>
  <r>
    <n v="35"/>
    <n v="19"/>
    <s v="Male"/>
    <x v="0"/>
    <s v="Hong Kong"/>
    <n v="4.7"/>
    <s v="Instagram"/>
    <s v="Yes"/>
    <n v="5.8"/>
    <n v="6"/>
    <s v="In Relationship"/>
    <n v="3"/>
    <n v="7"/>
    <s v="Instagram"/>
    <n v="1"/>
    <s v="5.8"/>
    <s v="OK"/>
    <b v="1"/>
    <s v="High"/>
    <s v="7"/>
    <n v="7.1"/>
    <b v="1"/>
  </r>
  <r>
    <n v="36"/>
    <n v="20"/>
    <s v="Female"/>
    <x v="0"/>
    <s v="Turkey"/>
    <n v="5.6"/>
    <s v="TikTok"/>
    <s v="Yes"/>
    <n v="5.5"/>
    <n v="5"/>
    <s v="Complicated"/>
    <n v="4"/>
    <n v="8"/>
    <s v="Tiktok"/>
    <n v="2"/>
    <s v="5.5"/>
    <s v="OK"/>
    <b v="1"/>
    <s v="High"/>
    <s v="8"/>
    <n v="7"/>
    <b v="1"/>
  </r>
  <r>
    <n v="37"/>
    <n v="22"/>
    <s v="Male"/>
    <x v="1"/>
    <s v="Israel"/>
    <n v="3.1"/>
    <s v="Facebook"/>
    <s v="No"/>
    <n v="6.8"/>
    <n v="7"/>
    <s v="Single"/>
    <n v="1"/>
    <n v="5"/>
    <s v="Facebook"/>
    <n v="0"/>
    <s v="6.8"/>
    <s v="OK"/>
    <s v="medium"/>
    <s v="Medium"/>
    <s v="5"/>
    <n v="7"/>
    <b v="1"/>
  </r>
  <r>
    <n v="38"/>
    <n v="19"/>
    <s v="Female"/>
    <x v="2"/>
    <s v="UAE"/>
    <n v="6.2"/>
    <s v="Instagram"/>
    <s v="Yes"/>
    <n v="5.0999999999999996"/>
    <n v="5"/>
    <s v="In Relationship"/>
    <n v="4"/>
    <n v="9"/>
    <s v="Instagram"/>
    <n v="1"/>
    <s v="5.1"/>
    <s v="OK"/>
    <b v="1"/>
    <s v="High"/>
    <s v="9"/>
    <n v="7"/>
    <b v="1"/>
  </r>
  <r>
    <n v="39"/>
    <n v="21"/>
    <s v="Male"/>
    <x v="0"/>
    <s v="Egypt"/>
    <n v="3.9"/>
    <s v="YouTube"/>
    <s v="No"/>
    <n v="6.5"/>
    <n v="7"/>
    <s v="Complicated"/>
    <n v="2"/>
    <n v="6"/>
    <s v="Youtube"/>
    <n v="1"/>
    <s v="6.5"/>
    <s v="OK"/>
    <s v="medium"/>
    <s v="Medium"/>
    <s v="6"/>
    <n v="7"/>
    <b v="1"/>
  </r>
  <r>
    <n v="40"/>
    <n v="20"/>
    <s v="Female"/>
    <x v="0"/>
    <s v="Morocco"/>
    <n v="4.5"/>
    <s v="TikTok"/>
    <s v="Yes"/>
    <n v="5.8"/>
    <n v="6"/>
    <s v="Single"/>
    <n v="3"/>
    <n v="7"/>
    <s v="Tiktok"/>
    <n v="2"/>
    <s v="5.8"/>
    <s v="OK"/>
    <b v="1"/>
    <s v="High"/>
    <s v="7"/>
    <n v="7"/>
    <b v="1"/>
  </r>
  <r>
    <n v="41"/>
    <n v="24"/>
    <s v="Male"/>
    <x v="1"/>
    <s v="South Africa"/>
    <n v="2.2999999999999998"/>
    <s v="LinkedIn"/>
    <s v="No"/>
    <n v="7.3"/>
    <n v="8"/>
    <s v="In Relationship"/>
    <n v="1"/>
    <n v="4"/>
    <s v="Linkedin"/>
    <n v="0"/>
    <s v="7.3"/>
    <s v="OK"/>
    <s v="medium"/>
    <s v="Low"/>
    <s v="4"/>
    <n v="7"/>
    <b v="1"/>
  </r>
  <r>
    <n v="42"/>
    <n v="19"/>
    <s v="Female"/>
    <x v="2"/>
    <s v="Nigeria"/>
    <n v="5.8"/>
    <s v="Instagram"/>
    <s v="Yes"/>
    <n v="5.4"/>
    <n v="5"/>
    <s v="Complicated"/>
    <n v="4"/>
    <n v="8"/>
    <s v="Instagram"/>
    <n v="1"/>
    <s v="5.4"/>
    <s v="OK"/>
    <b v="1"/>
    <s v="High"/>
    <s v="8"/>
    <n v="7"/>
    <b v="1"/>
  </r>
  <r>
    <n v="43"/>
    <n v="21"/>
    <s v="Male"/>
    <x v="0"/>
    <s v="Kenya"/>
    <n v="3.7"/>
    <s v="Facebook"/>
    <s v="No"/>
    <n v="6.6"/>
    <n v="7"/>
    <s v="Single"/>
    <n v="2"/>
    <n v="5"/>
    <s v="Facebook"/>
    <n v="0"/>
    <s v="6.6"/>
    <s v="OK"/>
    <s v="medium"/>
    <s v="Medium"/>
    <s v="5"/>
    <n v="7"/>
    <b v="1"/>
  </r>
  <r>
    <n v="44"/>
    <n v="20"/>
    <s v="Female"/>
    <x v="0"/>
    <s v="Ghana"/>
    <n v="4.5999999999999996"/>
    <s v="Snapchat"/>
    <s v="Yes"/>
    <n v="5.7"/>
    <n v="6"/>
    <s v="In Relationship"/>
    <n v="3"/>
    <n v="7"/>
    <s v="Snapchat"/>
    <n v="1"/>
    <s v="5.7"/>
    <s v="OK"/>
    <b v="1"/>
    <s v="High"/>
    <s v="7"/>
    <n v="7"/>
    <b v="1"/>
  </r>
  <r>
    <n v="45"/>
    <n v="18"/>
    <s v="Male"/>
    <x v="2"/>
    <s v="Argentina"/>
    <n v="5.5"/>
    <s v="TikTok"/>
    <s v="Yes"/>
    <n v="5.3"/>
    <n v="5"/>
    <s v="Single"/>
    <n v="4"/>
    <n v="8"/>
    <s v="Tiktok"/>
    <n v="2"/>
    <s v="5.3"/>
    <s v="OK"/>
    <b v="1"/>
    <s v="High"/>
    <s v="8"/>
    <n v="7"/>
    <b v="1"/>
  </r>
  <r>
    <n v="46"/>
    <n v="23"/>
    <s v="Female"/>
    <x v="1"/>
    <s v="Chile"/>
    <n v="2.7"/>
    <s v="LinkedIn"/>
    <s v="No"/>
    <n v="7.1"/>
    <n v="8"/>
    <s v="Complicated"/>
    <n v="1"/>
    <n v="4"/>
    <s v="Linkedin"/>
    <n v="0"/>
    <s v="7.1"/>
    <s v="OK"/>
    <s v="medium"/>
    <s v="Low"/>
    <s v="4"/>
    <n v="6.9"/>
    <b v="1"/>
  </r>
  <r>
    <n v="47"/>
    <n v="19"/>
    <s v="Male"/>
    <x v="0"/>
    <s v="Colombia"/>
    <n v="4.8"/>
    <s v="Instagram"/>
    <s v="Yes"/>
    <n v="5.9"/>
    <n v="6"/>
    <s v="In Relationship"/>
    <n v="3"/>
    <n v="7"/>
    <s v="Instagram"/>
    <n v="1"/>
    <s v="5.9"/>
    <s v="OK"/>
    <b v="1"/>
    <s v="High"/>
    <s v="7"/>
    <n v="6.9"/>
    <b v="1"/>
  </r>
  <r>
    <n v="48"/>
    <n v="20"/>
    <s v="Female"/>
    <x v="0"/>
    <s v="Peru"/>
    <n v="5.5"/>
    <s v="TikTok"/>
    <s v="Yes"/>
    <n v="5.6"/>
    <n v="5"/>
    <s v="Single"/>
    <n v="4"/>
    <n v="8"/>
    <s v="Tiktok"/>
    <n v="2"/>
    <s v="5.6"/>
    <s v="OK"/>
    <b v="1"/>
    <s v="High"/>
    <s v="8"/>
    <n v="6.9"/>
    <b v="1"/>
  </r>
  <r>
    <n v="49"/>
    <n v="22"/>
    <s v="Male"/>
    <x v="1"/>
    <s v="Venezuela"/>
    <n v="3.3"/>
    <s v="Facebook"/>
    <s v="No"/>
    <n v="6.7"/>
    <n v="7"/>
    <s v="In Relationship"/>
    <n v="2"/>
    <n v="5"/>
    <s v="Facebook"/>
    <n v="0"/>
    <s v="6.7"/>
    <s v="OK"/>
    <s v="medium"/>
    <s v="Medium"/>
    <s v="5"/>
    <n v="6.9"/>
    <b v="1"/>
  </r>
  <r>
    <n v="50"/>
    <n v="19"/>
    <s v="Female"/>
    <x v="2"/>
    <s v="Ecuador"/>
    <n v="6.3"/>
    <s v="Instagram"/>
    <s v="Yes"/>
    <n v="5.2"/>
    <n v="5"/>
    <s v="Complicated"/>
    <n v="4"/>
    <n v="9"/>
    <s v="Instagram"/>
    <n v="1"/>
    <s v="5.2"/>
    <s v="OK"/>
    <b v="1"/>
    <s v="High"/>
    <s v="9"/>
    <n v="6.9"/>
    <b v="1"/>
  </r>
  <r>
    <n v="51"/>
    <n v="21"/>
    <s v="Male"/>
    <x v="0"/>
    <s v="Uruguay"/>
    <n v="3.8"/>
    <s v="YouTube"/>
    <s v="No"/>
    <n v="6.4"/>
    <n v="7"/>
    <s v="Single"/>
    <n v="2"/>
    <n v="6"/>
    <s v="Youtube"/>
    <n v="1"/>
    <s v="6.4"/>
    <s v="OK"/>
    <s v="medium"/>
    <s v="Medium"/>
    <s v="6"/>
    <n v="6.9"/>
    <b v="1"/>
  </r>
  <r>
    <n v="52"/>
    <n v="20"/>
    <s v="Female"/>
    <x v="0"/>
    <s v="Paraguay"/>
    <n v="4.7"/>
    <s v="TikTok"/>
    <s v="Yes"/>
    <n v="5.8"/>
    <n v="6"/>
    <s v="In Relationship"/>
    <n v="3"/>
    <n v="7"/>
    <s v="Tiktok"/>
    <n v="2"/>
    <s v="5.8"/>
    <s v="OK"/>
    <b v="1"/>
    <s v="High"/>
    <s v="7"/>
    <n v="6.9"/>
    <b v="1"/>
  </r>
  <r>
    <n v="53"/>
    <n v="24"/>
    <s v="Male"/>
    <x v="1"/>
    <s v="Bolivia"/>
    <n v="2.4"/>
    <s v="LinkedIn"/>
    <s v="No"/>
    <n v="7.2"/>
    <n v="8"/>
    <s v="Complicated"/>
    <n v="1"/>
    <n v="4"/>
    <s v="Linkedin"/>
    <n v="0"/>
    <s v="7.2"/>
    <s v="OK"/>
    <s v="medium"/>
    <s v="Low"/>
    <s v="4"/>
    <n v="6.9"/>
    <b v="1"/>
  </r>
  <r>
    <n v="54"/>
    <n v="19"/>
    <s v="Female"/>
    <x v="2"/>
    <s v="Costa Rica"/>
    <n v="5.7"/>
    <s v="Instagram"/>
    <s v="Yes"/>
    <n v="5.5"/>
    <n v="5"/>
    <s v="Single"/>
    <n v="4"/>
    <n v="8"/>
    <s v="Instagram"/>
    <n v="1"/>
    <s v="5.5"/>
    <s v="OK"/>
    <b v="1"/>
    <s v="High"/>
    <s v="8"/>
    <n v="6.9"/>
    <b v="1"/>
  </r>
  <r>
    <n v="55"/>
    <n v="21"/>
    <s v="Male"/>
    <x v="0"/>
    <s v="Panama"/>
    <n v="3.6"/>
    <s v="Facebook"/>
    <s v="No"/>
    <n v="6.5"/>
    <n v="7"/>
    <s v="In Relationship"/>
    <n v="2"/>
    <n v="5"/>
    <s v="Facebook"/>
    <n v="0"/>
    <s v="6.5"/>
    <s v="OK"/>
    <s v="medium"/>
    <s v="Medium"/>
    <s v="5"/>
    <n v="6.9"/>
    <b v="1"/>
  </r>
  <r>
    <n v="56"/>
    <n v="20"/>
    <s v="Female"/>
    <x v="0"/>
    <s v="Jamaica"/>
    <n v="4.9000000000000004"/>
    <s v="Snapchat"/>
    <s v="Yes"/>
    <n v="5.6"/>
    <n v="6"/>
    <s v="Complicated"/>
    <n v="3"/>
    <n v="7"/>
    <s v="Snapchat"/>
    <n v="1"/>
    <s v="5.6"/>
    <s v="OK"/>
    <b v="1"/>
    <s v="High"/>
    <s v="7"/>
    <n v="6.8"/>
    <b v="1"/>
  </r>
  <r>
    <n v="57"/>
    <n v="18"/>
    <s v="Male"/>
    <x v="2"/>
    <s v="Trinidad"/>
    <n v="5.6"/>
    <s v="TikTok"/>
    <s v="Yes"/>
    <n v="5.2"/>
    <n v="5"/>
    <s v="Single"/>
    <n v="4"/>
    <n v="8"/>
    <s v="Tiktok"/>
    <n v="2"/>
    <s v="5.2"/>
    <s v="OK"/>
    <b v="1"/>
    <s v="High"/>
    <s v="8"/>
    <n v="6.8"/>
    <b v="1"/>
  </r>
  <r>
    <n v="58"/>
    <n v="23"/>
    <s v="Female"/>
    <x v="1"/>
    <s v="Bahamas"/>
    <n v="2.8"/>
    <s v="LinkedIn"/>
    <s v="No"/>
    <n v="7"/>
    <n v="8"/>
    <s v="In Relationship"/>
    <n v="1"/>
    <n v="4"/>
    <s v="Linkedin"/>
    <n v="0"/>
    <s v="7"/>
    <s v="OK"/>
    <s v="medium"/>
    <s v="Low"/>
    <s v="4"/>
    <n v="6.8"/>
    <b v="1"/>
  </r>
  <r>
    <n v="59"/>
    <n v="19"/>
    <s v="Male"/>
    <x v="0"/>
    <s v="Iceland"/>
    <n v="4.5999999999999996"/>
    <s v="Instagram"/>
    <s v="Yes"/>
    <n v="5.9"/>
    <n v="6"/>
    <s v="Complicated"/>
    <n v="3"/>
    <n v="7"/>
    <s v="Instagram"/>
    <n v="1"/>
    <s v="5.9"/>
    <s v="OK"/>
    <b v="1"/>
    <s v="High"/>
    <s v="7"/>
    <n v="6.8"/>
    <b v="1"/>
  </r>
  <r>
    <n v="60"/>
    <n v="20"/>
    <s v="Female"/>
    <x v="0"/>
    <s v="Finland"/>
    <n v="5.4"/>
    <s v="TikTok"/>
    <s v="Yes"/>
    <n v="5.7"/>
    <n v="5"/>
    <s v="Single"/>
    <n v="4"/>
    <n v="8"/>
    <s v="Tiktok"/>
    <n v="2"/>
    <s v="5.7"/>
    <s v="OK"/>
    <b v="1"/>
    <s v="High"/>
    <s v="8"/>
    <n v="6.8"/>
    <b v="1"/>
  </r>
  <r>
    <n v="61"/>
    <n v="22"/>
    <s v="Male"/>
    <x v="1"/>
    <s v="Poland"/>
    <n v="3.1"/>
    <s v="Facebook"/>
    <s v="No"/>
    <n v="7.1"/>
    <n v="7"/>
    <s v="Single"/>
    <n v="1"/>
    <n v="5"/>
    <s v="Facebook"/>
    <n v="0"/>
    <s v="7.1"/>
    <s v="OK"/>
    <s v="medium"/>
    <s v="Medium"/>
    <s v="5"/>
    <n v="6.8"/>
    <b v="1"/>
  </r>
  <r>
    <n v="62"/>
    <n v="19"/>
    <s v="Female"/>
    <x v="0"/>
    <s v="Romania"/>
    <n v="5.6"/>
    <s v="Instagram"/>
    <s v="Yes"/>
    <n v="5.6"/>
    <n v="5"/>
    <s v="In Relationship"/>
    <n v="3"/>
    <n v="8"/>
    <s v="Instagram"/>
    <n v="1"/>
    <s v="5.6"/>
    <s v="OK"/>
    <b v="1"/>
    <s v="High"/>
    <s v="8"/>
    <n v="6.8"/>
    <b v="1"/>
  </r>
  <r>
    <n v="63"/>
    <n v="20"/>
    <s v="Male"/>
    <x v="0"/>
    <s v="Hungary"/>
    <n v="4.2"/>
    <s v="TikTok"/>
    <s v="Yes"/>
    <n v="6"/>
    <n v="6"/>
    <s v="Complicated"/>
    <n v="3"/>
    <n v="7"/>
    <s v="Tiktok"/>
    <n v="2"/>
    <s v="6"/>
    <s v="OK"/>
    <b v="1"/>
    <s v="High"/>
    <s v="7"/>
    <n v="6.8"/>
    <b v="1"/>
  </r>
  <r>
    <n v="64"/>
    <n v="18"/>
    <s v="Female"/>
    <x v="2"/>
    <s v="Czech Republic"/>
    <n v="6.1"/>
    <s v="Snapchat"/>
    <s v="Yes"/>
    <n v="5.2"/>
    <n v="4"/>
    <s v="Single"/>
    <n v="4"/>
    <n v="9"/>
    <s v="Snapchat"/>
    <n v="1"/>
    <s v="5.2"/>
    <s v="OK"/>
    <b v="1"/>
    <s v="High"/>
    <s v="9"/>
    <n v="6.8"/>
    <b v="1"/>
  </r>
  <r>
    <n v="65"/>
    <n v="23"/>
    <s v="Male"/>
    <x v="1"/>
    <s v="Slovakia"/>
    <n v="2.2999999999999998"/>
    <s v="LinkedIn"/>
    <s v="No"/>
    <n v="7.4"/>
    <n v="8"/>
    <s v="In Relationship"/>
    <n v="1"/>
    <n v="3"/>
    <s v="Linkedin"/>
    <n v="0"/>
    <s v="7.4"/>
    <s v="OK"/>
    <s v="medium"/>
    <s v="Low"/>
    <s v="3"/>
    <n v="6.8"/>
    <b v="1"/>
  </r>
  <r>
    <n v="66"/>
    <n v="21"/>
    <s v="Female"/>
    <x v="0"/>
    <s v="Croatia"/>
    <n v="4.8"/>
    <s v="Instagram"/>
    <s v="Yes"/>
    <n v="5.8"/>
    <n v="6"/>
    <s v="Single"/>
    <n v="3"/>
    <n v="7"/>
    <s v="Instagram"/>
    <n v="1"/>
    <s v="5.8"/>
    <s v="OK"/>
    <b v="1"/>
    <s v="High"/>
    <s v="7"/>
    <n v="6.8"/>
    <b v="1"/>
  </r>
  <r>
    <n v="67"/>
    <n v="20"/>
    <s v="Male"/>
    <x v="0"/>
    <s v="Serbia"/>
    <n v="3.9"/>
    <s v="YouTube"/>
    <s v="No"/>
    <n v="6.5"/>
    <n v="7"/>
    <s v="Complicated"/>
    <n v="2"/>
    <n v="6"/>
    <s v="Youtube"/>
    <n v="1"/>
    <s v="6.5"/>
    <s v="OK"/>
    <s v="medium"/>
    <s v="Medium"/>
    <s v="6"/>
    <n v="6.8"/>
    <b v="1"/>
  </r>
  <r>
    <n v="68"/>
    <n v="19"/>
    <s v="Female"/>
    <x v="2"/>
    <s v="Slovenia"/>
    <n v="5.7"/>
    <s v="TikTok"/>
    <s v="Yes"/>
    <n v="5.4"/>
    <n v="5"/>
    <s v="In Relationship"/>
    <n v="4"/>
    <n v="8"/>
    <s v="Tiktok"/>
    <n v="2"/>
    <s v="5.4"/>
    <s v="OK"/>
    <b v="1"/>
    <s v="High"/>
    <s v="8"/>
    <n v="6.8"/>
    <b v="1"/>
  </r>
  <r>
    <n v="69"/>
    <n v="22"/>
    <s v="Male"/>
    <x v="1"/>
    <s v="Bulgaria"/>
    <n v="2.8"/>
    <s v="LinkedIn"/>
    <s v="No"/>
    <n v="7.2"/>
    <n v="8"/>
    <s v="Single"/>
    <n v="1"/>
    <n v="4"/>
    <s v="Linkedin"/>
    <n v="0"/>
    <s v="7.2"/>
    <s v="OK"/>
    <s v="medium"/>
    <s v="Low"/>
    <s v="4"/>
    <n v="6.7"/>
    <b v="1"/>
  </r>
  <r>
    <n v="70"/>
    <n v="20"/>
    <s v="Female"/>
    <x v="0"/>
    <s v="Estonia"/>
    <n v="4.5"/>
    <s v="Instagram"/>
    <s v="Yes"/>
    <n v="5.9"/>
    <n v="6"/>
    <s v="Complicated"/>
    <n v="3"/>
    <n v="7"/>
    <s v="Instagram"/>
    <n v="1"/>
    <s v="5.9"/>
    <s v="OK"/>
    <b v="1"/>
    <s v="High"/>
    <s v="7"/>
    <n v="6.7"/>
    <b v="1"/>
  </r>
  <r>
    <n v="71"/>
    <n v="18"/>
    <s v="Male"/>
    <x v="2"/>
    <s v="Latvia"/>
    <n v="5.4"/>
    <s v="Snapchat"/>
    <s v="Yes"/>
    <n v="5.5"/>
    <n v="5"/>
    <s v="Single"/>
    <n v="4"/>
    <n v="8"/>
    <s v="Snapchat"/>
    <n v="1"/>
    <s v="5.5"/>
    <s v="OK"/>
    <b v="1"/>
    <s v="High"/>
    <s v="8"/>
    <n v="6.7"/>
    <b v="1"/>
  </r>
  <r>
    <n v="72"/>
    <n v="21"/>
    <s v="Female"/>
    <x v="1"/>
    <s v="Lithuania"/>
    <n v="3.2"/>
    <s v="Facebook"/>
    <s v="No"/>
    <n v="6.8"/>
    <n v="7"/>
    <s v="In Relationship"/>
    <n v="2"/>
    <n v="5"/>
    <s v="Facebook"/>
    <n v="0"/>
    <s v="6.8"/>
    <s v="OK"/>
    <s v="medium"/>
    <s v="Medium"/>
    <s v="5"/>
    <n v="6.7"/>
    <b v="1"/>
  </r>
  <r>
    <n v="73"/>
    <n v="19"/>
    <s v="Male"/>
    <x v="0"/>
    <s v="Ukraine"/>
    <n v="4.9000000000000004"/>
    <s v="TikTok"/>
    <s v="Yes"/>
    <n v="5.7"/>
    <n v="6"/>
    <s v="Complicated"/>
    <n v="3"/>
    <n v="7"/>
    <s v="Tiktok"/>
    <n v="2"/>
    <s v="5.7"/>
    <s v="OK"/>
    <b v="1"/>
    <s v="High"/>
    <s v="7"/>
    <n v="6.7"/>
    <b v="1"/>
  </r>
  <r>
    <n v="74"/>
    <n v="20"/>
    <s v="Female"/>
    <x v="0"/>
    <s v="Moldova"/>
    <n v="5.8"/>
    <s v="Instagram"/>
    <s v="Yes"/>
    <n v="5.3"/>
    <n v="5"/>
    <s v="Single"/>
    <n v="4"/>
    <n v="8"/>
    <s v="Instagram"/>
    <n v="1"/>
    <s v="5.3"/>
    <s v="OK"/>
    <b v="1"/>
    <s v="High"/>
    <s v="8"/>
    <n v="6.7"/>
    <b v="1"/>
  </r>
  <r>
    <n v="75"/>
    <n v="23"/>
    <s v="Male"/>
    <x v="1"/>
    <s v="Belarus"/>
    <n v="2.5"/>
    <s v="LinkedIn"/>
    <s v="No"/>
    <n v="7.3"/>
    <n v="8"/>
    <s v="In Relationship"/>
    <n v="1"/>
    <n v="4"/>
    <s v="Linkedin"/>
    <n v="0"/>
    <s v="7.3"/>
    <s v="OK"/>
    <s v="medium"/>
    <s v="Low"/>
    <s v="4"/>
    <n v="6.7"/>
    <b v="1"/>
  </r>
  <r>
    <n v="76"/>
    <n v="21"/>
    <s v="Female"/>
    <x v="0"/>
    <s v="Kazakhstan"/>
    <n v="4.5999999999999996"/>
    <s v="Snapchat"/>
    <s v="Yes"/>
    <n v="5.8"/>
    <n v="6"/>
    <s v="Single"/>
    <n v="3"/>
    <n v="7"/>
    <s v="Snapchat"/>
    <n v="1"/>
    <s v="5.8"/>
    <s v="OK"/>
    <b v="1"/>
    <s v="High"/>
    <s v="7"/>
    <n v="6.7"/>
    <b v="1"/>
  </r>
  <r>
    <n v="77"/>
    <n v="19"/>
    <s v="Male"/>
    <x v="2"/>
    <s v="Uzbekistan"/>
    <n v="5.5"/>
    <s v="TikTok"/>
    <s v="Yes"/>
    <n v="5.4"/>
    <n v="5"/>
    <s v="Complicated"/>
    <n v="4"/>
    <n v="8"/>
    <s v="Tiktok"/>
    <n v="2"/>
    <s v="5.4"/>
    <s v="OK"/>
    <b v="1"/>
    <s v="High"/>
    <s v="8"/>
    <n v="6.7"/>
    <b v="1"/>
  </r>
  <r>
    <n v="78"/>
    <n v="22"/>
    <s v="Female"/>
    <x v="1"/>
    <s v="Kyrgyzstan"/>
    <n v="2.9"/>
    <s v="Facebook"/>
    <s v="No"/>
    <n v="7"/>
    <n v="7"/>
    <s v="In Relationship"/>
    <n v="2"/>
    <n v="5"/>
    <s v="Facebook"/>
    <n v="0"/>
    <s v="7"/>
    <s v="OK"/>
    <s v="medium"/>
    <s v="Medium"/>
    <s v="5"/>
    <n v="6.7"/>
    <b v="1"/>
  </r>
  <r>
    <n v="79"/>
    <n v="20"/>
    <s v="Male"/>
    <x v="0"/>
    <s v="Tajikistan"/>
    <n v="4.7"/>
    <s v="YouTube"/>
    <s v="Yes"/>
    <n v="5.9"/>
    <n v="6"/>
    <s v="Single"/>
    <n v="3"/>
    <n v="7"/>
    <s v="Youtube"/>
    <n v="1"/>
    <s v="5.9"/>
    <s v="OK"/>
    <b v="1"/>
    <s v="High"/>
    <s v="7"/>
    <n v="6.6"/>
    <b v="1"/>
  </r>
  <r>
    <n v="80"/>
    <n v="18"/>
    <s v="Female"/>
    <x v="2"/>
    <s v="Armenia"/>
    <n v="5.9"/>
    <s v="Instagram"/>
    <s v="Yes"/>
    <n v="5.2"/>
    <n v="5"/>
    <s v="Complicated"/>
    <n v="4"/>
    <n v="9"/>
    <s v="Instagram"/>
    <n v="1"/>
    <s v="5.2"/>
    <s v="OK"/>
    <b v="1"/>
    <s v="High"/>
    <s v="9"/>
    <n v="6.6"/>
    <b v="1"/>
  </r>
  <r>
    <n v="81"/>
    <n v="21"/>
    <s v="Male"/>
    <x v="1"/>
    <s v="Georgia"/>
    <n v="3"/>
    <s v="LinkedIn"/>
    <s v="No"/>
    <n v="7.1"/>
    <n v="8"/>
    <s v="In Relationship"/>
    <n v="1"/>
    <n v="4"/>
    <s v="Linkedin"/>
    <n v="0"/>
    <s v="7.1"/>
    <s v="OK"/>
    <s v="medium"/>
    <s v="Low"/>
    <s v="4"/>
    <n v="6.6"/>
    <b v="1"/>
  </r>
  <r>
    <n v="82"/>
    <n v="19"/>
    <s v="Female"/>
    <x v="0"/>
    <s v="Azerbaijan"/>
    <n v="4.8"/>
    <s v="TikTok"/>
    <s v="Yes"/>
    <n v="5.7"/>
    <n v="6"/>
    <s v="Single"/>
    <n v="3"/>
    <n v="7"/>
    <s v="Tiktok"/>
    <n v="2"/>
    <s v="5.7"/>
    <s v="OK"/>
    <b v="1"/>
    <s v="High"/>
    <s v="7"/>
    <n v="6.6"/>
    <b v="1"/>
  </r>
  <r>
    <n v="83"/>
    <n v="20"/>
    <s v="Male"/>
    <x v="0"/>
    <s v="Cyprus"/>
    <n v="3.8"/>
    <s v="Facebook"/>
    <s v="No"/>
    <n v="6.6"/>
    <n v="7"/>
    <s v="Complicated"/>
    <n v="2"/>
    <n v="6"/>
    <s v="Facebook"/>
    <n v="0"/>
    <s v="6.6"/>
    <s v="OK"/>
    <s v="medium"/>
    <s v="Medium"/>
    <s v="6"/>
    <n v="6.6"/>
    <b v="1"/>
  </r>
  <r>
    <n v="84"/>
    <n v="22"/>
    <s v="Female"/>
    <x v="1"/>
    <s v="Malta"/>
    <n v="2.7"/>
    <s v="LinkedIn"/>
    <s v="No"/>
    <n v="7.2"/>
    <n v="8"/>
    <s v="In Relationship"/>
    <n v="1"/>
    <n v="4"/>
    <s v="Linkedin"/>
    <n v="0"/>
    <s v="7.2"/>
    <s v="OK"/>
    <s v="medium"/>
    <s v="Low"/>
    <s v="4"/>
    <n v="6.6"/>
    <b v="1"/>
  </r>
  <r>
    <n v="85"/>
    <n v="18"/>
    <s v="Male"/>
    <x v="2"/>
    <s v="Luxembourg"/>
    <n v="5.6"/>
    <s v="Snapchat"/>
    <s v="Yes"/>
    <n v="5.3"/>
    <n v="5"/>
    <s v="Single"/>
    <n v="4"/>
    <n v="8"/>
    <s v="Snapchat"/>
    <n v="1"/>
    <s v="5.3"/>
    <s v="OK"/>
    <b v="1"/>
    <s v="High"/>
    <s v="8"/>
    <n v="6.6"/>
    <b v="1"/>
  </r>
  <r>
    <n v="86"/>
    <n v="21"/>
    <s v="Female"/>
    <x v="0"/>
    <s v="Monaco"/>
    <n v="4.5"/>
    <s v="Instagram"/>
    <s v="Yes"/>
    <n v="5.8"/>
    <n v="6"/>
    <s v="Complicated"/>
    <n v="3"/>
    <n v="7"/>
    <s v="Instagram"/>
    <n v="1"/>
    <s v="5.8"/>
    <s v="OK"/>
    <b v="1"/>
    <s v="High"/>
    <s v="7"/>
    <n v="6.6"/>
    <b v="1"/>
  </r>
  <r>
    <n v="87"/>
    <n v="19"/>
    <s v="Male"/>
    <x v="2"/>
    <s v="Andorra"/>
    <n v="5.3"/>
    <s v="TikTok"/>
    <s v="Yes"/>
    <n v="5.5"/>
    <n v="5"/>
    <s v="In Relationship"/>
    <n v="4"/>
    <n v="8"/>
    <s v="Tiktok"/>
    <n v="2"/>
    <s v="5.5"/>
    <s v="OK"/>
    <b v="1"/>
    <s v="High"/>
    <s v="8"/>
    <n v="6.5"/>
    <b v="1"/>
  </r>
  <r>
    <n v="88"/>
    <n v="23"/>
    <s v="Female"/>
    <x v="1"/>
    <s v="San Marino"/>
    <n v="2.6"/>
    <s v="LinkedIn"/>
    <s v="No"/>
    <n v="7.3"/>
    <n v="8"/>
    <s v="Single"/>
    <n v="1"/>
    <n v="4"/>
    <s v="Linkedin"/>
    <n v="0"/>
    <s v="7.3"/>
    <s v="OK"/>
    <s v="medium"/>
    <s v="Low"/>
    <s v="4"/>
    <n v="6.5"/>
    <b v="1"/>
  </r>
  <r>
    <n v="89"/>
    <n v="20"/>
    <s v="Male"/>
    <x v="0"/>
    <s v="Vatican City"/>
    <n v="4.4000000000000004"/>
    <s v="YouTube"/>
    <s v="Yes"/>
    <n v="6"/>
    <n v="6"/>
    <s v="Complicated"/>
    <n v="3"/>
    <n v="7"/>
    <s v="Youtube"/>
    <n v="1"/>
    <s v="6"/>
    <s v="OK"/>
    <b v="1"/>
    <s v="High"/>
    <s v="7"/>
    <n v="6.5"/>
    <b v="1"/>
  </r>
  <r>
    <n v="90"/>
    <n v="18"/>
    <s v="Female"/>
    <x v="2"/>
    <s v="Liechtenstein"/>
    <n v="5.8"/>
    <s v="Instagram"/>
    <s v="Yes"/>
    <n v="5.2"/>
    <n v="5"/>
    <s v="Single"/>
    <n v="4"/>
    <n v="9"/>
    <s v="Instagram"/>
    <n v="1"/>
    <s v="5.2"/>
    <s v="OK"/>
    <b v="1"/>
    <s v="High"/>
    <s v="9"/>
    <n v="6.5"/>
    <b v="1"/>
  </r>
  <r>
    <n v="91"/>
    <n v="22"/>
    <s v="Male"/>
    <x v="1"/>
    <s v="Montenegro"/>
    <n v="2.9"/>
    <s v="Facebook"/>
    <s v="No"/>
    <n v="7"/>
    <n v="7"/>
    <s v="In Relationship"/>
    <n v="2"/>
    <n v="5"/>
    <s v="Facebook"/>
    <n v="0"/>
    <s v="7"/>
    <s v="OK"/>
    <s v="medium"/>
    <s v="Medium"/>
    <s v="5"/>
    <n v="6.5"/>
    <b v="1"/>
  </r>
  <r>
    <n v="92"/>
    <n v="19"/>
    <s v="Female"/>
    <x v="0"/>
    <s v="Albania"/>
    <n v="4.7"/>
    <s v="TikTok"/>
    <s v="Yes"/>
    <n v="5.8"/>
    <n v="6"/>
    <s v="Complicated"/>
    <n v="3"/>
    <n v="7"/>
    <s v="Tiktok"/>
    <n v="2"/>
    <s v="5.8"/>
    <s v="OK"/>
    <b v="1"/>
    <s v="High"/>
    <s v="7"/>
    <n v="6.5"/>
    <b v="1"/>
  </r>
  <r>
    <n v="93"/>
    <n v="21"/>
    <s v="Male"/>
    <x v="0"/>
    <s v="North Macedonia"/>
    <n v="3.7"/>
    <s v="Snapchat"/>
    <s v="No"/>
    <n v="6.5"/>
    <n v="7"/>
    <s v="Single"/>
    <n v="2"/>
    <n v="6"/>
    <s v="Snapchat"/>
    <n v="1"/>
    <s v="6.5"/>
    <s v="OK"/>
    <s v="medium"/>
    <s v="Medium"/>
    <s v="6"/>
    <n v="6.5"/>
    <b v="1"/>
  </r>
  <r>
    <n v="94"/>
    <n v="20"/>
    <s v="Female"/>
    <x v="2"/>
    <s v="Kosovo"/>
    <n v="5.5"/>
    <s v="Instagram"/>
    <s v="Yes"/>
    <n v="5.4"/>
    <n v="5"/>
    <s v="In Relationship"/>
    <n v="4"/>
    <n v="8"/>
    <s v="Instagram"/>
    <n v="1"/>
    <s v="5.4"/>
    <s v="OK"/>
    <b v="1"/>
    <s v="High"/>
    <s v="8"/>
    <n v="6.5"/>
    <b v="1"/>
  </r>
  <r>
    <n v="95"/>
    <n v="23"/>
    <s v="Male"/>
    <x v="1"/>
    <s v="Bosnia"/>
    <n v="2.4"/>
    <s v="LinkedIn"/>
    <s v="No"/>
    <n v="7.4"/>
    <n v="8"/>
    <s v="Complicated"/>
    <n v="1"/>
    <n v="4"/>
    <s v="Linkedin"/>
    <n v="0"/>
    <s v="7.4"/>
    <s v="OK"/>
    <s v="medium"/>
    <s v="Low"/>
    <s v="4"/>
    <n v="6.5"/>
    <b v="1"/>
  </r>
  <r>
    <n v="96"/>
    <n v="19"/>
    <s v="Female"/>
    <x v="0"/>
    <s v="Qatar"/>
    <n v="4.9000000000000004"/>
    <s v="TikTok"/>
    <s v="Yes"/>
    <n v="5.7"/>
    <n v="6"/>
    <s v="Single"/>
    <n v="3"/>
    <n v="7"/>
    <s v="Tiktok"/>
    <n v="2"/>
    <s v="5.7"/>
    <s v="OK"/>
    <b v="1"/>
    <s v="High"/>
    <s v="7"/>
    <n v="6.5"/>
    <b v="1"/>
  </r>
  <r>
    <n v="97"/>
    <n v="18"/>
    <s v="Male"/>
    <x v="2"/>
    <s v="Kuwait"/>
    <n v="5.7"/>
    <s v="Snapchat"/>
    <s v="Yes"/>
    <n v="5.3"/>
    <n v="5"/>
    <s v="In Relationship"/>
    <n v="4"/>
    <n v="8"/>
    <s v="Snapchat"/>
    <n v="1"/>
    <s v="5.3"/>
    <s v="OK"/>
    <b v="1"/>
    <s v="High"/>
    <s v="8"/>
    <n v="6.4"/>
    <b v="1"/>
  </r>
  <r>
    <n v="98"/>
    <n v="22"/>
    <s v="Female"/>
    <x v="1"/>
    <s v="Bahrain"/>
    <n v="2.8"/>
    <s v="LinkedIn"/>
    <s v="No"/>
    <n v="7.1"/>
    <n v="8"/>
    <s v="Complicated"/>
    <n v="1"/>
    <n v="4"/>
    <s v="Linkedin"/>
    <n v="0"/>
    <s v="7.1"/>
    <s v="OK"/>
    <s v="medium"/>
    <s v="Low"/>
    <s v="4"/>
    <n v="6.4"/>
    <b v="1"/>
  </r>
  <r>
    <n v="99"/>
    <n v="20"/>
    <s v="Male"/>
    <x v="0"/>
    <s v="Oman"/>
    <n v="4.5999999999999996"/>
    <s v="Instagram"/>
    <s v="Yes"/>
    <n v="5.9"/>
    <n v="6"/>
    <s v="Single"/>
    <n v="3"/>
    <n v="7"/>
    <s v="Instagram"/>
    <n v="1"/>
    <s v="5.9"/>
    <s v="OK"/>
    <b v="1"/>
    <s v="High"/>
    <s v="7"/>
    <n v="6.4"/>
    <b v="1"/>
  </r>
  <r>
    <n v="100"/>
    <n v="21"/>
    <s v="Female"/>
    <x v="0"/>
    <s v="Jordan"/>
    <n v="5.4"/>
    <s v="TikTok"/>
    <s v="Yes"/>
    <n v="5.5"/>
    <n v="5"/>
    <s v="In Relationship"/>
    <n v="4"/>
    <n v="8"/>
    <s v="Tiktok"/>
    <n v="2"/>
    <s v="5.5"/>
    <s v="OK"/>
    <b v="1"/>
    <s v="High"/>
    <s v="8"/>
    <n v="6.4"/>
    <b v="1"/>
  </r>
  <r>
    <n v="101"/>
    <n v="19"/>
    <s v="Male"/>
    <x v="2"/>
    <s v="Lebanon"/>
    <n v="5.8"/>
    <s v="YouTube"/>
    <s v="Yes"/>
    <n v="5.2"/>
    <n v="5"/>
    <s v="Complicated"/>
    <n v="4"/>
    <n v="9"/>
    <s v="Youtube"/>
    <n v="1"/>
    <s v="5.2"/>
    <s v="OK"/>
    <b v="1"/>
    <s v="High"/>
    <s v="9"/>
    <n v="6.4"/>
    <b v="1"/>
  </r>
  <r>
    <n v="102"/>
    <n v="23"/>
    <s v="Female"/>
    <x v="1"/>
    <s v="Iraq"/>
    <n v="2.5"/>
    <s v="LinkedIn"/>
    <s v="No"/>
    <n v="7.3"/>
    <n v="8"/>
    <s v="Single"/>
    <n v="1"/>
    <n v="4"/>
    <s v="Linkedin"/>
    <n v="0"/>
    <s v="7.3"/>
    <s v="OK"/>
    <s v="medium"/>
    <s v="Low"/>
    <s v="4"/>
    <n v="6.4"/>
    <b v="1"/>
  </r>
  <r>
    <n v="103"/>
    <n v="20"/>
    <s v="Male"/>
    <x v="0"/>
    <s v="Yemen"/>
    <n v="4.7"/>
    <s v="Facebook"/>
    <s v="Yes"/>
    <n v="5.8"/>
    <n v="6"/>
    <s v="In Relationship"/>
    <n v="3"/>
    <n v="7"/>
    <s v="Facebook"/>
    <n v="0"/>
    <s v="5.8"/>
    <s v="OK"/>
    <b v="1"/>
    <s v="High"/>
    <s v="7"/>
    <n v="6.4"/>
    <b v="1"/>
  </r>
  <r>
    <n v="104"/>
    <n v="18"/>
    <s v="Female"/>
    <x v="2"/>
    <s v="Syria"/>
    <n v="5.6"/>
    <s v="Instagram"/>
    <s v="Yes"/>
    <n v="5.4"/>
    <n v="5"/>
    <s v="Single"/>
    <n v="4"/>
    <n v="8"/>
    <s v="Instagram"/>
    <n v="1"/>
    <s v="5.4"/>
    <s v="OK"/>
    <b v="1"/>
    <s v="High"/>
    <s v="8"/>
    <n v="6.4"/>
    <b v="1"/>
  </r>
  <r>
    <n v="105"/>
    <n v="22"/>
    <s v="Male"/>
    <x v="1"/>
    <s v="Afghanistan"/>
    <n v="2.9"/>
    <s v="LinkedIn"/>
    <s v="No"/>
    <n v="7"/>
    <n v="7"/>
    <s v="Complicated"/>
    <n v="2"/>
    <n v="5"/>
    <s v="Linkedin"/>
    <n v="0"/>
    <s v="7"/>
    <s v="OK"/>
    <s v="medium"/>
    <s v="Medium"/>
    <s v="5"/>
    <n v="6.4"/>
    <b v="1"/>
  </r>
  <r>
    <n v="106"/>
    <n v="19"/>
    <s v="Female"/>
    <x v="0"/>
    <s v="Pakistan"/>
    <n v="4.8"/>
    <s v="TikTok"/>
    <s v="Yes"/>
    <n v="5.7"/>
    <n v="6"/>
    <s v="In Relationship"/>
    <n v="3"/>
    <n v="7"/>
    <s v="Tiktok"/>
    <n v="2"/>
    <s v="5.7"/>
    <s v="OK"/>
    <b v="1"/>
    <s v="High"/>
    <s v="7"/>
    <n v="6.4"/>
    <b v="1"/>
  </r>
  <r>
    <n v="107"/>
    <n v="21"/>
    <s v="Male"/>
    <x v="0"/>
    <s v="Nepal"/>
    <n v="3.8"/>
    <s v="YouTube"/>
    <s v="No"/>
    <n v="6.6"/>
    <n v="7"/>
    <s v="Single"/>
    <n v="2"/>
    <n v="6"/>
    <s v="Youtube"/>
    <n v="1"/>
    <s v="6.6"/>
    <s v="OK"/>
    <s v="medium"/>
    <s v="Medium"/>
    <s v="6"/>
    <n v="6.3"/>
    <b v="1"/>
  </r>
  <r>
    <n v="108"/>
    <n v="20"/>
    <s v="Female"/>
    <x v="2"/>
    <s v="Bhutan"/>
    <n v="5.5"/>
    <s v="Snapchat"/>
    <s v="Yes"/>
    <n v="5.5"/>
    <n v="5"/>
    <s v="Complicated"/>
    <n v="4"/>
    <n v="8"/>
    <s v="Snapchat"/>
    <n v="1"/>
    <s v="5.5"/>
    <s v="OK"/>
    <b v="1"/>
    <s v="High"/>
    <s v="8"/>
    <n v="6.3"/>
    <b v="1"/>
  </r>
  <r>
    <n v="109"/>
    <n v="23"/>
    <s v="Male"/>
    <x v="1"/>
    <s v="Sri Lanka"/>
    <n v="2.6"/>
    <s v="LinkedIn"/>
    <s v="No"/>
    <n v="7.2"/>
    <n v="8"/>
    <s v="In Relationship"/>
    <n v="1"/>
    <n v="4"/>
    <s v="Linkedin"/>
    <n v="0"/>
    <s v="7.2"/>
    <s v="OK"/>
    <s v="medium"/>
    <s v="Low"/>
    <s v="4"/>
    <n v="6.3"/>
    <b v="1"/>
  </r>
  <r>
    <n v="110"/>
    <n v="19"/>
    <s v="Female"/>
    <x v="0"/>
    <s v="Maldives"/>
    <n v="4.9000000000000004"/>
    <s v="Instagram"/>
    <s v="Yes"/>
    <n v="5.8"/>
    <n v="6"/>
    <s v="Single"/>
    <n v="3"/>
    <n v="7"/>
    <s v="Instagram"/>
    <n v="1"/>
    <s v="5.8"/>
    <s v="OK"/>
    <b v="1"/>
    <s v="High"/>
    <s v="7"/>
    <n v="6.3"/>
    <b v="1"/>
  </r>
  <r>
    <n v="111"/>
    <n v="20"/>
    <s v="Male"/>
    <x v="0"/>
    <s v="Bangladesh"/>
    <n v="6.1"/>
    <s v="Instagram"/>
    <s v="Yes"/>
    <n v="6.2"/>
    <n v="5"/>
    <s v="Single"/>
    <n v="4"/>
    <n v="8"/>
    <s v="Instagram"/>
    <n v="1"/>
    <s v="6.2"/>
    <s v="OK"/>
    <b v="1"/>
    <s v="High"/>
    <s v="8"/>
    <n v="6.3"/>
    <b v="1"/>
  </r>
  <r>
    <n v="112"/>
    <n v="21"/>
    <s v="Female"/>
    <x v="0"/>
    <s v="India"/>
    <n v="5.8"/>
    <s v="TikTok"/>
    <s v="Yes"/>
    <n v="5.9"/>
    <n v="6"/>
    <s v="In Relationship"/>
    <n v="3"/>
    <n v="7"/>
    <s v="Tiktok"/>
    <n v="2"/>
    <s v="5.9"/>
    <s v="OK"/>
    <b v="1"/>
    <s v="High"/>
    <s v="7"/>
    <n v="6.3"/>
    <b v="1"/>
  </r>
  <r>
    <n v="113"/>
    <n v="19"/>
    <s v="Male"/>
    <x v="0"/>
    <s v="Nepal"/>
    <n v="4.9000000000000004"/>
    <s v="Facebook"/>
    <s v="No"/>
    <n v="7.1"/>
    <n v="7"/>
    <s v="Single"/>
    <n v="2"/>
    <n v="5"/>
    <s v="Facebook"/>
    <n v="0"/>
    <s v="7.1"/>
    <s v="OK"/>
    <s v="medium"/>
    <s v="Medium"/>
    <s v="5"/>
    <n v="6.3"/>
    <b v="1"/>
  </r>
  <r>
    <n v="114"/>
    <n v="22"/>
    <s v="Female"/>
    <x v="1"/>
    <s v="Pakistan"/>
    <n v="5.5"/>
    <s v="Instagram"/>
    <s v="Yes"/>
    <n v="6"/>
    <n v="5"/>
    <s v="Single"/>
    <n v="4"/>
    <n v="8"/>
    <s v="Instagram"/>
    <n v="1"/>
    <s v="6"/>
    <s v="OK"/>
    <b v="1"/>
    <s v="High"/>
    <s v="8"/>
    <n v="6.3"/>
    <b v="1"/>
  </r>
  <r>
    <n v="115"/>
    <n v="20"/>
    <s v="Male"/>
    <x v="0"/>
    <s v="Sri Lanka"/>
    <n v="5.2"/>
    <s v="TikTok"/>
    <s v="Yes"/>
    <n v="6.3"/>
    <n v="6"/>
    <s v="In Relationship"/>
    <n v="3"/>
    <n v="7"/>
    <s v="Tiktok"/>
    <n v="2"/>
    <s v="6.3"/>
    <s v="OK"/>
    <b v="1"/>
    <s v="High"/>
    <s v="7"/>
    <n v="6.3"/>
    <b v="1"/>
  </r>
  <r>
    <n v="116"/>
    <n v="19"/>
    <s v="Female"/>
    <x v="0"/>
    <s v="Maldives"/>
    <n v="4.8"/>
    <s v="Instagram"/>
    <s v="No"/>
    <n v="7.2"/>
    <n v="8"/>
    <s v="Single"/>
    <n v="2"/>
    <n v="5"/>
    <s v="Instagram"/>
    <n v="1"/>
    <s v="7.2"/>
    <s v="OK"/>
    <s v="medium"/>
    <s v="Medium"/>
    <s v="5"/>
    <n v="6.3"/>
    <b v="1"/>
  </r>
  <r>
    <n v="117"/>
    <n v="21"/>
    <s v="Male"/>
    <x v="1"/>
    <s v="Bangladesh"/>
    <n v="6"/>
    <s v="Facebook"/>
    <s v="Yes"/>
    <n v="5.8"/>
    <n v="5"/>
    <s v="In Relationship"/>
    <n v="4"/>
    <n v="8"/>
    <s v="Facebook"/>
    <n v="0"/>
    <s v="5.8"/>
    <s v="OK"/>
    <b v="1"/>
    <s v="High"/>
    <s v="8"/>
    <n v="6.3"/>
    <b v="1"/>
  </r>
  <r>
    <n v="118"/>
    <n v="20"/>
    <s v="Female"/>
    <x v="0"/>
    <s v="India"/>
    <n v="5.7"/>
    <s v="Instagram"/>
    <s v="Yes"/>
    <n v="6.1"/>
    <n v="6"/>
    <s v="Single"/>
    <n v="3"/>
    <n v="7"/>
    <s v="Instagram"/>
    <n v="1"/>
    <s v="6.1"/>
    <s v="OK"/>
    <b v="1"/>
    <s v="High"/>
    <s v="7"/>
    <n v="6.2"/>
    <b v="1"/>
  </r>
  <r>
    <n v="119"/>
    <n v="22"/>
    <s v="Male"/>
    <x v="1"/>
    <s v="Nepal"/>
    <n v="4.7"/>
    <s v="TikTok"/>
    <s v="No"/>
    <n v="7.3"/>
    <n v="7"/>
    <s v="Single"/>
    <n v="2"/>
    <n v="5"/>
    <s v="Tiktok"/>
    <n v="2"/>
    <s v="7.3"/>
    <s v="OK"/>
    <s v="medium"/>
    <s v="Medium"/>
    <s v="5"/>
    <n v="6.2"/>
    <b v="1"/>
  </r>
  <r>
    <n v="120"/>
    <n v="19"/>
    <s v="Female"/>
    <x v="0"/>
    <s v="Pakistan"/>
    <n v="5.4"/>
    <s v="Instagram"/>
    <s v="Yes"/>
    <n v="6.2"/>
    <n v="5"/>
    <s v="In Relationship"/>
    <n v="4"/>
    <n v="8"/>
    <s v="Instagram"/>
    <n v="1"/>
    <s v="6.2"/>
    <s v="OK"/>
    <b v="1"/>
    <s v="High"/>
    <s v="8"/>
    <n v="6.2"/>
    <b v="1"/>
  </r>
  <r>
    <n v="121"/>
    <n v="20"/>
    <s v="Male"/>
    <x v="0"/>
    <s v="Sri Lanka"/>
    <n v="5.9"/>
    <s v="Facebook"/>
    <s v="Yes"/>
    <n v="5.9"/>
    <n v="6"/>
    <s v="Single"/>
    <n v="3"/>
    <n v="7"/>
    <s v="Facebook"/>
    <n v="0"/>
    <s v="5.9"/>
    <s v="OK"/>
    <b v="1"/>
    <s v="High"/>
    <s v="7"/>
    <n v="6.2"/>
    <b v="1"/>
  </r>
  <r>
    <n v="122"/>
    <n v="21"/>
    <s v="Female"/>
    <x v="1"/>
    <s v="Maldives"/>
    <n v="4.5999999999999996"/>
    <s v="Instagram"/>
    <s v="No"/>
    <n v="7.4"/>
    <n v="8"/>
    <s v="In Relationship"/>
    <n v="2"/>
    <n v="5"/>
    <s v="Instagram"/>
    <n v="1"/>
    <s v="7.4"/>
    <s v="OK"/>
    <s v="medium"/>
    <s v="Medium"/>
    <s v="5"/>
    <n v="6.2"/>
    <b v="1"/>
  </r>
  <r>
    <n v="123"/>
    <n v="19"/>
    <s v="Male"/>
    <x v="0"/>
    <s v="Bangladesh"/>
    <n v="5.3"/>
    <s v="TikTok"/>
    <s v="Yes"/>
    <n v="6.3"/>
    <n v="5"/>
    <s v="Single"/>
    <n v="4"/>
    <n v="8"/>
    <s v="Tiktok"/>
    <n v="2"/>
    <s v="6.3"/>
    <s v="OK"/>
    <b v="1"/>
    <s v="High"/>
    <s v="8"/>
    <n v="6.2"/>
    <b v="1"/>
  </r>
  <r>
    <n v="124"/>
    <n v="22"/>
    <s v="Female"/>
    <x v="1"/>
    <s v="India"/>
    <n v="5.8"/>
    <s v="Instagram"/>
    <s v="Yes"/>
    <n v="5.8"/>
    <n v="6"/>
    <s v="In Relationship"/>
    <n v="3"/>
    <n v="7"/>
    <s v="Instagram"/>
    <n v="1"/>
    <s v="5.8"/>
    <s v="OK"/>
    <b v="1"/>
    <s v="High"/>
    <s v="7"/>
    <n v="6.2"/>
    <b v="1"/>
  </r>
  <r>
    <n v="125"/>
    <n v="20"/>
    <s v="Male"/>
    <x v="0"/>
    <s v="Nepal"/>
    <n v="4.5"/>
    <s v="Facebook"/>
    <s v="No"/>
    <n v="7.5"/>
    <n v="7"/>
    <s v="Single"/>
    <n v="2"/>
    <n v="5"/>
    <s v="Facebook"/>
    <n v="0"/>
    <s v="7.5"/>
    <s v="OK"/>
    <s v="medium"/>
    <s v="Medium"/>
    <s v="5"/>
    <n v="6.2"/>
    <b v="1"/>
  </r>
  <r>
    <n v="126"/>
    <n v="21"/>
    <s v="Female"/>
    <x v="1"/>
    <s v="Pakistan"/>
    <n v="5.2"/>
    <s v="Instagram"/>
    <s v="Yes"/>
    <n v="6.4"/>
    <n v="5"/>
    <s v="In Relationship"/>
    <n v="4"/>
    <n v="8"/>
    <s v="Instagram"/>
    <n v="1"/>
    <s v="6.4"/>
    <s v="OK"/>
    <b v="1"/>
    <s v="High"/>
    <s v="8"/>
    <n v="6.2"/>
    <b v="1"/>
  </r>
  <r>
    <n v="127"/>
    <n v="19"/>
    <s v="Male"/>
    <x v="0"/>
    <s v="Sri Lanka"/>
    <n v="5.7"/>
    <s v="TikTok"/>
    <s v="Yes"/>
    <n v="5.7"/>
    <n v="6"/>
    <s v="Single"/>
    <n v="3"/>
    <n v="7"/>
    <s v="Tiktok"/>
    <n v="2"/>
    <s v="5.7"/>
    <s v="OK"/>
    <b v="1"/>
    <s v="High"/>
    <s v="7"/>
    <n v="6.2"/>
    <b v="1"/>
  </r>
  <r>
    <n v="128"/>
    <n v="20"/>
    <s v="Female"/>
    <x v="0"/>
    <s v="Maldives"/>
    <n v="4.4000000000000004"/>
    <s v="Instagram"/>
    <s v="No"/>
    <n v="7.6"/>
    <n v="8"/>
    <s v="In Relationship"/>
    <n v="2"/>
    <n v="5"/>
    <s v="Instagram"/>
    <n v="1"/>
    <s v="7.6"/>
    <s v="OK"/>
    <s v="medium"/>
    <s v="Medium"/>
    <s v="5"/>
    <n v="6.2"/>
    <b v="1"/>
  </r>
  <r>
    <n v="129"/>
    <n v="22"/>
    <s v="Male"/>
    <x v="1"/>
    <s v="Bangladesh"/>
    <n v="5.0999999999999996"/>
    <s v="Facebook"/>
    <s v="Yes"/>
    <n v="6.5"/>
    <n v="5"/>
    <s v="Single"/>
    <n v="4"/>
    <n v="8"/>
    <s v="Facebook"/>
    <n v="0"/>
    <s v="6.5"/>
    <s v="OK"/>
    <b v="1"/>
    <s v="High"/>
    <s v="8"/>
    <n v="6.2"/>
    <b v="1"/>
  </r>
  <r>
    <n v="130"/>
    <n v="21"/>
    <s v="Female"/>
    <x v="1"/>
    <s v="India"/>
    <n v="5.6"/>
    <s v="Instagram"/>
    <s v="Yes"/>
    <n v="5.6"/>
    <n v="6"/>
    <s v="In Relationship"/>
    <n v="3"/>
    <n v="7"/>
    <s v="Instagram"/>
    <n v="1"/>
    <s v="5.6"/>
    <s v="OK"/>
    <b v="1"/>
    <s v="High"/>
    <s v="7"/>
    <n v="6.2"/>
    <b v="1"/>
  </r>
  <r>
    <n v="131"/>
    <n v="19"/>
    <s v="Male"/>
    <x v="0"/>
    <s v="Nepal"/>
    <n v="4.3"/>
    <s v="TikTok"/>
    <s v="No"/>
    <n v="7.7"/>
    <n v="7"/>
    <s v="Single"/>
    <n v="2"/>
    <n v="5"/>
    <s v="Tiktok"/>
    <n v="2"/>
    <s v="7.7"/>
    <s v="OK"/>
    <s v="medium"/>
    <s v="Medium"/>
    <s v="5"/>
    <n v="6.1"/>
    <b v="1"/>
  </r>
  <r>
    <n v="132"/>
    <n v="20"/>
    <s v="Female"/>
    <x v="0"/>
    <s v="Pakistan"/>
    <n v="5"/>
    <s v="Instagram"/>
    <s v="Yes"/>
    <n v="6.6"/>
    <n v="5"/>
    <s v="In Relationship"/>
    <n v="4"/>
    <n v="8"/>
    <s v="Instagram"/>
    <n v="1"/>
    <s v="6.6"/>
    <s v="OK"/>
    <b v="1"/>
    <s v="High"/>
    <s v="8"/>
    <n v="6.1"/>
    <b v="1"/>
  </r>
  <r>
    <n v="133"/>
    <n v="22"/>
    <s v="Male"/>
    <x v="1"/>
    <s v="Sri Lanka"/>
    <n v="5.5"/>
    <s v="Facebook"/>
    <s v="Yes"/>
    <n v="5.5"/>
    <n v="6"/>
    <s v="Single"/>
    <n v="3"/>
    <n v="7"/>
    <s v="Facebook"/>
    <n v="0"/>
    <s v="5.5"/>
    <s v="OK"/>
    <b v="1"/>
    <s v="High"/>
    <s v="7"/>
    <n v="6.1"/>
    <b v="1"/>
  </r>
  <r>
    <n v="134"/>
    <n v="21"/>
    <s v="Female"/>
    <x v="1"/>
    <s v="Maldives"/>
    <n v="4.2"/>
    <s v="Instagram"/>
    <s v="No"/>
    <n v="7.8"/>
    <n v="8"/>
    <s v="In Relationship"/>
    <n v="2"/>
    <n v="5"/>
    <s v="Instagram"/>
    <n v="1"/>
    <s v="7.8"/>
    <s v="OK"/>
    <s v="medium"/>
    <s v="Medium"/>
    <s v="5"/>
    <n v="6.1"/>
    <b v="1"/>
  </r>
  <r>
    <n v="135"/>
    <n v="19"/>
    <s v="Male"/>
    <x v="0"/>
    <s v="Bangladesh"/>
    <n v="4.9000000000000004"/>
    <s v="TikTok"/>
    <s v="Yes"/>
    <n v="6.7"/>
    <n v="5"/>
    <s v="Single"/>
    <n v="4"/>
    <n v="8"/>
    <s v="Tiktok"/>
    <n v="2"/>
    <s v="6.7"/>
    <s v="OK"/>
    <b v="1"/>
    <s v="High"/>
    <s v="8"/>
    <n v="6.1"/>
    <b v="1"/>
  </r>
  <r>
    <n v="136"/>
    <n v="20"/>
    <s v="Female"/>
    <x v="0"/>
    <s v="India"/>
    <n v="5.4"/>
    <s v="Instagram"/>
    <s v="Yes"/>
    <n v="5.4"/>
    <n v="6"/>
    <s v="In Relationship"/>
    <n v="3"/>
    <n v="7"/>
    <s v="Instagram"/>
    <n v="1"/>
    <s v="5.4"/>
    <s v="OK"/>
    <b v="1"/>
    <s v="High"/>
    <s v="7"/>
    <n v="6.1"/>
    <b v="1"/>
  </r>
  <r>
    <n v="137"/>
    <n v="22"/>
    <s v="Male"/>
    <x v="1"/>
    <s v="Nepal"/>
    <n v="4.0999999999999996"/>
    <s v="Facebook"/>
    <s v="No"/>
    <n v="7.9"/>
    <n v="7"/>
    <s v="Single"/>
    <n v="2"/>
    <n v="5"/>
    <s v="Facebook"/>
    <n v="0"/>
    <s v="7.9"/>
    <s v="OK"/>
    <s v="medium"/>
    <s v="Medium"/>
    <s v="5"/>
    <n v="6.1"/>
    <b v="1"/>
  </r>
  <r>
    <n v="138"/>
    <n v="21"/>
    <s v="Female"/>
    <x v="1"/>
    <s v="Pakistan"/>
    <n v="4.8"/>
    <s v="Instagram"/>
    <s v="Yes"/>
    <n v="6.8"/>
    <n v="5"/>
    <s v="In Relationship"/>
    <n v="4"/>
    <n v="8"/>
    <s v="Instagram"/>
    <n v="1"/>
    <s v="6.8"/>
    <s v="OK"/>
    <b v="1"/>
    <s v="High"/>
    <s v="8"/>
    <n v="6.1"/>
    <b v="1"/>
  </r>
  <r>
    <n v="139"/>
    <n v="19"/>
    <s v="Male"/>
    <x v="0"/>
    <s v="Sri Lanka"/>
    <n v="5.3"/>
    <s v="TikTok"/>
    <s v="Yes"/>
    <n v="5.3"/>
    <n v="6"/>
    <s v="Single"/>
    <n v="3"/>
    <n v="7"/>
    <s v="Tiktok"/>
    <n v="2"/>
    <s v="5.3"/>
    <s v="OK"/>
    <b v="1"/>
    <s v="High"/>
    <s v="7"/>
    <n v="6.1"/>
    <b v="1"/>
  </r>
  <r>
    <n v="140"/>
    <n v="20"/>
    <s v="Female"/>
    <x v="0"/>
    <s v="Maldives"/>
    <n v="4"/>
    <s v="Instagram"/>
    <s v="No"/>
    <n v="8"/>
    <n v="8"/>
    <s v="In Relationship"/>
    <n v="2"/>
    <n v="5"/>
    <s v="Instagram"/>
    <n v="1"/>
    <s v="8"/>
    <s v="OK"/>
    <s v="medium"/>
    <s v="Medium"/>
    <s v="5"/>
    <n v="6.1"/>
    <b v="1"/>
  </r>
  <r>
    <n v="141"/>
    <n v="22"/>
    <s v="Male"/>
    <x v="1"/>
    <s v="Bangladesh"/>
    <n v="4.7"/>
    <s v="Facebook"/>
    <s v="Yes"/>
    <n v="6.9"/>
    <n v="5"/>
    <s v="Single"/>
    <n v="4"/>
    <n v="8"/>
    <s v="Facebook"/>
    <n v="0"/>
    <s v="6.9"/>
    <s v="OK"/>
    <b v="1"/>
    <s v="High"/>
    <s v="8"/>
    <n v="6.1"/>
    <b v="1"/>
  </r>
  <r>
    <n v="142"/>
    <n v="21"/>
    <s v="Female"/>
    <x v="1"/>
    <s v="India"/>
    <n v="5.2"/>
    <s v="Instagram"/>
    <s v="Yes"/>
    <n v="5.2"/>
    <n v="6"/>
    <s v="In Relationship"/>
    <n v="3"/>
    <n v="7"/>
    <s v="Instagram"/>
    <n v="1"/>
    <s v="5.2"/>
    <s v="OK"/>
    <b v="1"/>
    <s v="High"/>
    <s v="7"/>
    <n v="6.1"/>
    <b v="1"/>
  </r>
  <r>
    <n v="143"/>
    <n v="19"/>
    <s v="Male"/>
    <x v="0"/>
    <s v="Nepal"/>
    <n v="3.9"/>
    <s v="TikTok"/>
    <s v="No"/>
    <n v="8.1"/>
    <n v="7"/>
    <s v="Single"/>
    <n v="2"/>
    <n v="5"/>
    <s v="Tiktok"/>
    <n v="2"/>
    <s v="8.1"/>
    <s v="OK"/>
    <s v="medium"/>
    <s v="Medium"/>
    <s v="5"/>
    <n v="6.1"/>
    <b v="1"/>
  </r>
  <r>
    <n v="144"/>
    <n v="20"/>
    <s v="Female"/>
    <x v="0"/>
    <s v="Pakistan"/>
    <n v="4.5999999999999996"/>
    <s v="Instagram"/>
    <s v="Yes"/>
    <n v="7"/>
    <n v="5"/>
    <s v="In Relationship"/>
    <n v="4"/>
    <n v="8"/>
    <s v="Instagram"/>
    <n v="1"/>
    <s v="7"/>
    <s v="OK"/>
    <b v="1"/>
    <s v="High"/>
    <s v="8"/>
    <n v="6"/>
    <b v="1"/>
  </r>
  <r>
    <n v="145"/>
    <n v="22"/>
    <s v="Male"/>
    <x v="1"/>
    <s v="Sri Lanka"/>
    <n v="5.0999999999999996"/>
    <s v="Facebook"/>
    <s v="Yes"/>
    <n v="5.0999999999999996"/>
    <n v="6"/>
    <s v="Single"/>
    <n v="3"/>
    <n v="7"/>
    <s v="Facebook"/>
    <n v="0"/>
    <s v="5.1"/>
    <s v="OK"/>
    <b v="1"/>
    <s v="High"/>
    <s v="7"/>
    <n v="6"/>
    <b v="1"/>
  </r>
  <r>
    <n v="146"/>
    <n v="21"/>
    <s v="Female"/>
    <x v="1"/>
    <s v="Maldives"/>
    <n v="3.8"/>
    <s v="Instagram"/>
    <s v="No"/>
    <n v="8.1999999999999993"/>
    <n v="8"/>
    <s v="In Relationship"/>
    <n v="2"/>
    <n v="5"/>
    <s v="Instagram"/>
    <n v="1"/>
    <s v="8.2"/>
    <s v="OK"/>
    <s v="medium"/>
    <s v="Medium"/>
    <s v="5"/>
    <n v="6"/>
    <b v="1"/>
  </r>
  <r>
    <n v="147"/>
    <n v="19"/>
    <s v="Male"/>
    <x v="0"/>
    <s v="Bangladesh"/>
    <n v="4.5"/>
    <s v="TikTok"/>
    <s v="Yes"/>
    <n v="7.1"/>
    <n v="5"/>
    <s v="Single"/>
    <n v="4"/>
    <n v="8"/>
    <s v="Tiktok"/>
    <n v="2"/>
    <s v="7.1"/>
    <s v="OK"/>
    <b v="1"/>
    <s v="High"/>
    <s v="8"/>
    <n v="6"/>
    <b v="1"/>
  </r>
  <r>
    <n v="148"/>
    <n v="20"/>
    <s v="Female"/>
    <x v="0"/>
    <s v="India"/>
    <n v="5"/>
    <s v="Instagram"/>
    <s v="Yes"/>
    <n v="5"/>
    <n v="6"/>
    <s v="In Relationship"/>
    <n v="3"/>
    <n v="7"/>
    <s v="Instagram"/>
    <n v="1"/>
    <s v="5"/>
    <s v="OK"/>
    <b v="1"/>
    <s v="High"/>
    <s v="7"/>
    <n v="6"/>
    <b v="1"/>
  </r>
  <r>
    <n v="149"/>
    <n v="22"/>
    <s v="Male"/>
    <x v="1"/>
    <s v="Nepal"/>
    <n v="3.7"/>
    <s v="Facebook"/>
    <s v="No"/>
    <n v="8.3000000000000007"/>
    <n v="7"/>
    <s v="Single"/>
    <n v="2"/>
    <n v="5"/>
    <s v="Facebook"/>
    <n v="0"/>
    <s v="8.3"/>
    <s v="OK"/>
    <s v="medium"/>
    <s v="Medium"/>
    <s v="5"/>
    <n v="6"/>
    <b v="1"/>
  </r>
  <r>
    <n v="150"/>
    <n v="21"/>
    <s v="Female"/>
    <x v="1"/>
    <s v="Pakistan"/>
    <n v="4.4000000000000004"/>
    <s v="Instagram"/>
    <s v="Yes"/>
    <n v="7.2"/>
    <n v="5"/>
    <s v="In Relationship"/>
    <n v="4"/>
    <n v="8"/>
    <s v="Instagram"/>
    <n v="1"/>
    <s v="7.2"/>
    <s v="OK"/>
    <b v="1"/>
    <s v="High"/>
    <s v="8"/>
    <n v="6"/>
    <b v="1"/>
  </r>
  <r>
    <n v="151"/>
    <n v="19"/>
    <s v="Male"/>
    <x v="0"/>
    <s v="Sri Lanka"/>
    <n v="4.9000000000000004"/>
    <s v="TikTok"/>
    <s v="Yes"/>
    <n v="4.9000000000000004"/>
    <n v="6"/>
    <s v="Single"/>
    <n v="3"/>
    <n v="7"/>
    <s v="Tiktok"/>
    <n v="2"/>
    <s v="4.9"/>
    <s v="LESS SLEEP"/>
    <b v="1"/>
    <s v="High"/>
    <s v="7"/>
    <n v="5.9"/>
    <b v="1"/>
  </r>
  <r>
    <n v="152"/>
    <n v="20"/>
    <s v="Female"/>
    <x v="0"/>
    <s v="Maldives"/>
    <n v="3.6"/>
    <s v="Instagram"/>
    <s v="No"/>
    <n v="8.4"/>
    <n v="8"/>
    <s v="In Relationship"/>
    <n v="2"/>
    <n v="5"/>
    <s v="Instagram"/>
    <n v="1"/>
    <s v="8.4"/>
    <s v="OK"/>
    <s v="medium"/>
    <s v="Medium"/>
    <s v="5"/>
    <n v="5.9"/>
    <b v="1"/>
  </r>
  <r>
    <n v="153"/>
    <n v="22"/>
    <s v="Male"/>
    <x v="1"/>
    <s v="Bangladesh"/>
    <n v="4.3"/>
    <s v="Facebook"/>
    <s v="Yes"/>
    <n v="7.3"/>
    <n v="5"/>
    <s v="Single"/>
    <n v="4"/>
    <n v="8"/>
    <s v="Facebook"/>
    <n v="0"/>
    <s v="7.3"/>
    <s v="OK"/>
    <b v="1"/>
    <s v="High"/>
    <s v="8"/>
    <n v="5.9"/>
    <b v="1"/>
  </r>
  <r>
    <n v="154"/>
    <n v="21"/>
    <s v="Female"/>
    <x v="1"/>
    <s v="India"/>
    <n v="4.8"/>
    <s v="Instagram"/>
    <s v="Yes"/>
    <n v="4.8"/>
    <n v="6"/>
    <s v="In Relationship"/>
    <n v="3"/>
    <n v="7"/>
    <s v="Instagram"/>
    <n v="1"/>
    <s v="4.8"/>
    <s v="LESS SLEEP"/>
    <b v="1"/>
    <s v="High"/>
    <s v="7"/>
    <n v="5.9"/>
    <b v="1"/>
  </r>
  <r>
    <n v="155"/>
    <n v="19"/>
    <s v="Male"/>
    <x v="0"/>
    <s v="Nepal"/>
    <n v="3.5"/>
    <s v="TikTok"/>
    <s v="No"/>
    <n v="8.5"/>
    <n v="7"/>
    <s v="Single"/>
    <n v="2"/>
    <n v="5"/>
    <s v="Tiktok"/>
    <n v="2"/>
    <s v="8.5"/>
    <s v="OK"/>
    <s v="medium"/>
    <s v="Medium"/>
    <s v="5"/>
    <n v="5.9"/>
    <b v="1"/>
  </r>
  <r>
    <n v="156"/>
    <n v="20"/>
    <s v="Female"/>
    <x v="0"/>
    <s v="Pakistan"/>
    <n v="4.2"/>
    <s v="Instagram"/>
    <s v="Yes"/>
    <n v="7.4"/>
    <n v="5"/>
    <s v="In Relationship"/>
    <n v="4"/>
    <n v="8"/>
    <s v="Instagram"/>
    <n v="1"/>
    <s v="7.4"/>
    <s v="OK"/>
    <b v="1"/>
    <s v="High"/>
    <s v="8"/>
    <n v="5.9"/>
    <b v="1"/>
  </r>
  <r>
    <n v="157"/>
    <n v="22"/>
    <s v="Male"/>
    <x v="1"/>
    <s v="Sri Lanka"/>
    <n v="4.7"/>
    <s v="Facebook"/>
    <s v="Yes"/>
    <n v="4.7"/>
    <n v="6"/>
    <s v="Single"/>
    <n v="3"/>
    <n v="7"/>
    <s v="Facebook"/>
    <n v="0"/>
    <s v="4.7"/>
    <s v="LESS SLEEP"/>
    <b v="1"/>
    <s v="High"/>
    <s v="7"/>
    <n v="5.9"/>
    <b v="1"/>
  </r>
  <r>
    <n v="158"/>
    <n v="21"/>
    <s v="Female"/>
    <x v="1"/>
    <s v="Maldives"/>
    <n v="3.4"/>
    <s v="Instagram"/>
    <s v="No"/>
    <n v="8.6"/>
    <n v="8"/>
    <s v="In Relationship"/>
    <n v="2"/>
    <n v="5"/>
    <s v="Instagram"/>
    <n v="1"/>
    <s v="8.6"/>
    <s v="OK"/>
    <s v="medium"/>
    <s v="Medium"/>
    <s v="5"/>
    <n v="5.9"/>
    <b v="1"/>
  </r>
  <r>
    <n v="159"/>
    <n v="19"/>
    <s v="Male"/>
    <x v="0"/>
    <s v="Bangladesh"/>
    <n v="4.0999999999999996"/>
    <s v="TikTok"/>
    <s v="Yes"/>
    <n v="7.5"/>
    <n v="5"/>
    <s v="Single"/>
    <n v="4"/>
    <n v="8"/>
    <s v="Tiktok"/>
    <n v="2"/>
    <s v="7.5"/>
    <s v="OK"/>
    <b v="1"/>
    <s v="High"/>
    <s v="8"/>
    <n v="5.9"/>
    <b v="1"/>
  </r>
  <r>
    <n v="160"/>
    <n v="20"/>
    <s v="Female"/>
    <x v="0"/>
    <s v="India"/>
    <n v="4.5999999999999996"/>
    <s v="Instagram"/>
    <s v="Yes"/>
    <n v="4.5999999999999996"/>
    <n v="6"/>
    <s v="In Relationship"/>
    <n v="3"/>
    <n v="7"/>
    <s v="Instagram"/>
    <n v="1"/>
    <s v="4.6"/>
    <s v="LESS SLEEP"/>
    <b v="1"/>
    <s v="High"/>
    <s v="7"/>
    <n v="5.9"/>
    <b v="1"/>
  </r>
  <r>
    <n v="161"/>
    <n v="19"/>
    <s v="Female"/>
    <x v="0"/>
    <s v="Bangladesh"/>
    <n v="5.3"/>
    <s v="Instagram"/>
    <s v="Yes"/>
    <n v="6.1"/>
    <n v="5"/>
    <s v="Single"/>
    <n v="3"/>
    <n v="7"/>
    <s v="Instagram"/>
    <n v="1"/>
    <s v="6.1"/>
    <s v="OK"/>
    <b v="1"/>
    <s v="High"/>
    <s v="7"/>
    <n v="5.9"/>
    <b v="1"/>
  </r>
  <r>
    <n v="162"/>
    <n v="21"/>
    <s v="Male"/>
    <x v="1"/>
    <s v="India"/>
    <n v="4.8"/>
    <s v="Facebook"/>
    <s v="No"/>
    <n v="7.2"/>
    <n v="7"/>
    <s v="In Relationship"/>
    <n v="2"/>
    <n v="6"/>
    <s v="Facebook"/>
    <n v="0"/>
    <s v="7.2"/>
    <s v="OK"/>
    <s v="medium"/>
    <s v="Medium"/>
    <s v="6"/>
    <n v="5.9"/>
    <b v="1"/>
  </r>
  <r>
    <n v="163"/>
    <n v="20"/>
    <s v="Female"/>
    <x v="0"/>
    <s v="Nepal"/>
    <n v="5.5"/>
    <s v="TikTok"/>
    <s v="Yes"/>
    <n v="5.9"/>
    <n v="6"/>
    <s v="Single"/>
    <n v="4"/>
    <n v="8"/>
    <s v="Tiktok"/>
    <n v="2"/>
    <s v="5.9"/>
    <s v="OK"/>
    <b v="1"/>
    <s v="High"/>
    <s v="8"/>
    <n v="5.9"/>
    <b v="1"/>
  </r>
  <r>
    <n v="164"/>
    <n v="22"/>
    <s v="Male"/>
    <x v="1"/>
    <s v="Pakistan"/>
    <n v="4.7"/>
    <s v="Instagram"/>
    <s v="Yes"/>
    <n v="6.3"/>
    <n v="5"/>
    <s v="In Relationship"/>
    <n v="3"/>
    <n v="7"/>
    <s v="Instagram"/>
    <n v="1"/>
    <s v="6.3"/>
    <s v="OK"/>
    <b v="1"/>
    <s v="High"/>
    <s v="7"/>
    <n v="5.8"/>
    <b v="1"/>
  </r>
  <r>
    <n v="165"/>
    <n v="19"/>
    <s v="Female"/>
    <x v="0"/>
    <s v="Sri Lanka"/>
    <n v="5.0999999999999996"/>
    <s v="Facebook"/>
    <s v="No"/>
    <n v="7"/>
    <n v="7"/>
    <s v="Single"/>
    <n v="2"/>
    <n v="5"/>
    <s v="Facebook"/>
    <n v="0"/>
    <s v="7"/>
    <s v="OK"/>
    <s v="medium"/>
    <s v="Medium"/>
    <s v="5"/>
    <n v="5.8"/>
    <b v="1"/>
  </r>
  <r>
    <n v="166"/>
    <n v="21"/>
    <s v="Male"/>
    <x v="1"/>
    <s v="Maldives"/>
    <n v="5.4"/>
    <s v="TikTok"/>
    <s v="Yes"/>
    <n v="6"/>
    <n v="6"/>
    <s v="In Relationship"/>
    <n v="4"/>
    <n v="8"/>
    <s v="Tiktok"/>
    <n v="2"/>
    <s v="6"/>
    <s v="OK"/>
    <b v="1"/>
    <s v="High"/>
    <s v="8"/>
    <n v="5.8"/>
    <b v="1"/>
  </r>
  <r>
    <n v="167"/>
    <n v="20"/>
    <s v="Female"/>
    <x v="0"/>
    <s v="Bangladesh"/>
    <n v="4.9000000000000004"/>
    <s v="Instagram"/>
    <s v="Yes"/>
    <n v="6.4"/>
    <n v="5"/>
    <s v="Single"/>
    <n v="3"/>
    <n v="7"/>
    <s v="Instagram"/>
    <n v="1"/>
    <s v="6.4"/>
    <s v="OK"/>
    <b v="1"/>
    <s v="High"/>
    <s v="7"/>
    <n v="5.8"/>
    <b v="1"/>
  </r>
  <r>
    <n v="168"/>
    <n v="22"/>
    <s v="Male"/>
    <x v="1"/>
    <s v="India"/>
    <n v="5.2"/>
    <s v="Facebook"/>
    <s v="No"/>
    <n v="7.1"/>
    <n v="7"/>
    <s v="In Relationship"/>
    <n v="2"/>
    <n v="6"/>
    <s v="Facebook"/>
    <n v="0"/>
    <s v="7.1"/>
    <s v="OK"/>
    <s v="medium"/>
    <s v="Medium"/>
    <s v="6"/>
    <n v="5.8"/>
    <b v="1"/>
  </r>
  <r>
    <n v="169"/>
    <n v="19"/>
    <s v="Female"/>
    <x v="0"/>
    <s v="Nepal"/>
    <n v="5.6"/>
    <s v="TikTok"/>
    <s v="Yes"/>
    <n v="5.8"/>
    <n v="6"/>
    <s v="Single"/>
    <n v="4"/>
    <n v="8"/>
    <s v="Tiktok"/>
    <n v="2"/>
    <s v="5.8"/>
    <s v="OK"/>
    <b v="1"/>
    <s v="High"/>
    <s v="8"/>
    <n v="5.8"/>
    <b v="1"/>
  </r>
  <r>
    <n v="170"/>
    <n v="21"/>
    <s v="Male"/>
    <x v="1"/>
    <s v="Pakistan"/>
    <n v="4.5999999999999996"/>
    <s v="Instagram"/>
    <s v="Yes"/>
    <n v="6.5"/>
    <n v="5"/>
    <s v="In Relationship"/>
    <n v="3"/>
    <n v="7"/>
    <s v="Instagram"/>
    <n v="1"/>
    <s v="6.5"/>
    <s v="OK"/>
    <b v="1"/>
    <s v="High"/>
    <s v="7"/>
    <n v="5.8"/>
    <b v="1"/>
  </r>
  <r>
    <n v="171"/>
    <n v="20"/>
    <s v="Female"/>
    <x v="0"/>
    <s v="Sri Lanka"/>
    <n v="5"/>
    <s v="Facebook"/>
    <s v="No"/>
    <n v="7.3"/>
    <n v="7"/>
    <s v="Single"/>
    <n v="2"/>
    <n v="5"/>
    <s v="Facebook"/>
    <n v="0"/>
    <s v="7.3"/>
    <s v="OK"/>
    <s v="medium"/>
    <s v="Medium"/>
    <s v="5"/>
    <n v="5.8"/>
    <b v="1"/>
  </r>
  <r>
    <n v="172"/>
    <n v="22"/>
    <s v="Male"/>
    <x v="1"/>
    <s v="Maldives"/>
    <n v="5.3"/>
    <s v="TikTok"/>
    <s v="Yes"/>
    <n v="5.7"/>
    <n v="6"/>
    <s v="In Relationship"/>
    <n v="4"/>
    <n v="8"/>
    <s v="Tiktok"/>
    <n v="2"/>
    <s v="5.7"/>
    <s v="OK"/>
    <b v="1"/>
    <s v="High"/>
    <s v="8"/>
    <n v="5.8"/>
    <b v="1"/>
  </r>
  <r>
    <n v="173"/>
    <n v="19"/>
    <s v="Female"/>
    <x v="0"/>
    <s v="Bangladesh"/>
    <n v="4.8"/>
    <s v="Instagram"/>
    <s v="Yes"/>
    <n v="6.6"/>
    <n v="5"/>
    <s v="Single"/>
    <n v="3"/>
    <n v="7"/>
    <s v="Instagram"/>
    <n v="1"/>
    <s v="6.6"/>
    <s v="OK"/>
    <b v="1"/>
    <s v="High"/>
    <s v="7"/>
    <n v="5.8"/>
    <b v="1"/>
  </r>
  <r>
    <n v="174"/>
    <n v="21"/>
    <s v="Male"/>
    <x v="1"/>
    <s v="India"/>
    <n v="5.0999999999999996"/>
    <s v="Facebook"/>
    <s v="No"/>
    <n v="7.4"/>
    <n v="7"/>
    <s v="In Relationship"/>
    <n v="2"/>
    <n v="6"/>
    <s v="Facebook"/>
    <n v="0"/>
    <s v="7.4"/>
    <s v="OK"/>
    <s v="medium"/>
    <s v="Medium"/>
    <s v="6"/>
    <n v="5.8"/>
    <b v="1"/>
  </r>
  <r>
    <n v="175"/>
    <n v="20"/>
    <s v="Female"/>
    <x v="0"/>
    <s v="Nepal"/>
    <n v="5.7"/>
    <s v="TikTok"/>
    <s v="Yes"/>
    <n v="5.6"/>
    <n v="6"/>
    <s v="Single"/>
    <n v="4"/>
    <n v="8"/>
    <s v="Tiktok"/>
    <n v="2"/>
    <s v="5.6"/>
    <s v="OK"/>
    <b v="1"/>
    <s v="High"/>
    <s v="8"/>
    <n v="5.8"/>
    <b v="1"/>
  </r>
  <r>
    <n v="176"/>
    <n v="22"/>
    <s v="Male"/>
    <x v="1"/>
    <s v="Pakistan"/>
    <n v="4.5"/>
    <s v="Instagram"/>
    <s v="Yes"/>
    <n v="6.7"/>
    <n v="5"/>
    <s v="In Relationship"/>
    <n v="3"/>
    <n v="7"/>
    <s v="Instagram"/>
    <n v="1"/>
    <s v="6.7"/>
    <s v="OK"/>
    <b v="1"/>
    <s v="High"/>
    <s v="7"/>
    <n v="5.8"/>
    <b v="1"/>
  </r>
  <r>
    <n v="177"/>
    <n v="19"/>
    <s v="Female"/>
    <x v="0"/>
    <s v="Sri Lanka"/>
    <n v="4.9000000000000004"/>
    <s v="Facebook"/>
    <s v="No"/>
    <n v="7.5"/>
    <n v="7"/>
    <s v="Single"/>
    <n v="2"/>
    <n v="5"/>
    <s v="Facebook"/>
    <n v="0"/>
    <s v="7.5"/>
    <s v="OK"/>
    <s v="medium"/>
    <s v="Medium"/>
    <s v="5"/>
    <n v="5.8"/>
    <b v="1"/>
  </r>
  <r>
    <n v="178"/>
    <n v="21"/>
    <s v="Male"/>
    <x v="1"/>
    <s v="Maldives"/>
    <n v="5.2"/>
    <s v="TikTok"/>
    <s v="Yes"/>
    <n v="5.5"/>
    <n v="6"/>
    <s v="In Relationship"/>
    <n v="4"/>
    <n v="8"/>
    <s v="Tiktok"/>
    <n v="2"/>
    <s v="5.5"/>
    <s v="OK"/>
    <b v="1"/>
    <s v="High"/>
    <s v="8"/>
    <n v="5.8"/>
    <b v="1"/>
  </r>
  <r>
    <n v="179"/>
    <n v="20"/>
    <s v="Female"/>
    <x v="0"/>
    <s v="Bangladesh"/>
    <n v="4.7"/>
    <s v="Instagram"/>
    <s v="Yes"/>
    <n v="6.8"/>
    <n v="5"/>
    <s v="Single"/>
    <n v="3"/>
    <n v="7"/>
    <s v="Instagram"/>
    <n v="1"/>
    <s v="6.8"/>
    <s v="OK"/>
    <b v="1"/>
    <s v="High"/>
    <s v="7"/>
    <n v="5.8"/>
    <b v="1"/>
  </r>
  <r>
    <n v="180"/>
    <n v="22"/>
    <s v="Male"/>
    <x v="1"/>
    <s v="India"/>
    <n v="5"/>
    <s v="Facebook"/>
    <s v="No"/>
    <n v="7.6"/>
    <n v="7"/>
    <s v="In Relationship"/>
    <n v="2"/>
    <n v="6"/>
    <s v="Facebook"/>
    <n v="0"/>
    <s v="7.6"/>
    <s v="OK"/>
    <s v="medium"/>
    <s v="Medium"/>
    <s v="6"/>
    <n v="5.8"/>
    <b v="1"/>
  </r>
  <r>
    <n v="181"/>
    <n v="19"/>
    <s v="Female"/>
    <x v="0"/>
    <s v="Nepal"/>
    <n v="5.8"/>
    <s v="TikTok"/>
    <s v="Yes"/>
    <n v="5.4"/>
    <n v="6"/>
    <s v="Single"/>
    <n v="4"/>
    <n v="8"/>
    <s v="Tiktok"/>
    <n v="2"/>
    <s v="5.4"/>
    <s v="OK"/>
    <b v="1"/>
    <s v="High"/>
    <s v="8"/>
    <n v="5.8"/>
    <b v="1"/>
  </r>
  <r>
    <n v="182"/>
    <n v="21"/>
    <s v="Male"/>
    <x v="1"/>
    <s v="Pakistan"/>
    <n v="4.4000000000000004"/>
    <s v="Instagram"/>
    <s v="Yes"/>
    <n v="6.9"/>
    <n v="5"/>
    <s v="In Relationship"/>
    <n v="3"/>
    <n v="7"/>
    <s v="Instagram"/>
    <n v="1"/>
    <s v="6.9"/>
    <s v="OK"/>
    <b v="1"/>
    <s v="High"/>
    <s v="7"/>
    <n v="5.7"/>
    <b v="1"/>
  </r>
  <r>
    <n v="183"/>
    <n v="20"/>
    <s v="Female"/>
    <x v="0"/>
    <s v="Sri Lanka"/>
    <n v="4.8"/>
    <s v="Facebook"/>
    <s v="No"/>
    <n v="7.7"/>
    <n v="7"/>
    <s v="Single"/>
    <n v="2"/>
    <n v="5"/>
    <s v="Facebook"/>
    <n v="0"/>
    <s v="7.7"/>
    <s v="OK"/>
    <s v="medium"/>
    <s v="Medium"/>
    <s v="5"/>
    <n v="5.7"/>
    <b v="1"/>
  </r>
  <r>
    <n v="184"/>
    <n v="22"/>
    <s v="Male"/>
    <x v="1"/>
    <s v="Maldives"/>
    <n v="5.0999999999999996"/>
    <s v="TikTok"/>
    <s v="Yes"/>
    <n v="5.3"/>
    <n v="6"/>
    <s v="In Relationship"/>
    <n v="4"/>
    <n v="8"/>
    <s v="Tiktok"/>
    <n v="2"/>
    <s v="5.3"/>
    <s v="OK"/>
    <b v="1"/>
    <s v="High"/>
    <s v="8"/>
    <n v="5.7"/>
    <b v="1"/>
  </r>
  <r>
    <n v="185"/>
    <n v="19"/>
    <s v="Female"/>
    <x v="0"/>
    <s v="Bangladesh"/>
    <n v="4.5999999999999996"/>
    <s v="Instagram"/>
    <s v="Yes"/>
    <n v="7"/>
    <n v="5"/>
    <s v="Single"/>
    <n v="3"/>
    <n v="7"/>
    <s v="Instagram"/>
    <n v="1"/>
    <s v="7"/>
    <s v="OK"/>
    <b v="1"/>
    <s v="High"/>
    <s v="7"/>
    <n v="5.7"/>
    <b v="1"/>
  </r>
  <r>
    <n v="186"/>
    <n v="21"/>
    <s v="Male"/>
    <x v="1"/>
    <s v="India"/>
    <n v="4.9000000000000004"/>
    <s v="Facebook"/>
    <s v="No"/>
    <n v="7.8"/>
    <n v="7"/>
    <s v="In Relationship"/>
    <n v="2"/>
    <n v="6"/>
    <s v="Facebook"/>
    <n v="0"/>
    <s v="7.8"/>
    <s v="OK"/>
    <s v="medium"/>
    <s v="Medium"/>
    <s v="6"/>
    <n v="5.7"/>
    <b v="1"/>
  </r>
  <r>
    <n v="187"/>
    <n v="20"/>
    <s v="Female"/>
    <x v="0"/>
    <s v="Nepal"/>
    <n v="5.9"/>
    <s v="TikTok"/>
    <s v="Yes"/>
    <n v="5.2"/>
    <n v="6"/>
    <s v="Single"/>
    <n v="4"/>
    <n v="8"/>
    <s v="Tiktok"/>
    <n v="2"/>
    <s v="5.2"/>
    <s v="OK"/>
    <b v="1"/>
    <s v="High"/>
    <s v="8"/>
    <n v="5.7"/>
    <b v="1"/>
  </r>
  <r>
    <n v="188"/>
    <n v="22"/>
    <s v="Male"/>
    <x v="1"/>
    <s v="Pakistan"/>
    <n v="4.3"/>
    <s v="Instagram"/>
    <s v="Yes"/>
    <n v="7.1"/>
    <n v="5"/>
    <s v="In Relationship"/>
    <n v="3"/>
    <n v="7"/>
    <s v="Instagram"/>
    <n v="1"/>
    <s v="7.1"/>
    <s v="OK"/>
    <b v="1"/>
    <s v="High"/>
    <s v="7"/>
    <n v="5.7"/>
    <b v="1"/>
  </r>
  <r>
    <n v="189"/>
    <n v="19"/>
    <s v="Female"/>
    <x v="0"/>
    <s v="Sri Lanka"/>
    <n v="4.7"/>
    <s v="Facebook"/>
    <s v="No"/>
    <n v="7.9"/>
    <n v="7"/>
    <s v="Single"/>
    <n v="2"/>
    <n v="5"/>
    <s v="Facebook"/>
    <n v="0"/>
    <s v="7.9"/>
    <s v="OK"/>
    <s v="medium"/>
    <s v="Medium"/>
    <s v="5"/>
    <n v="5.7"/>
    <b v="1"/>
  </r>
  <r>
    <n v="190"/>
    <n v="21"/>
    <s v="Male"/>
    <x v="1"/>
    <s v="Maldives"/>
    <n v="5"/>
    <s v="TikTok"/>
    <s v="Yes"/>
    <n v="5.0999999999999996"/>
    <n v="6"/>
    <s v="In Relationship"/>
    <n v="4"/>
    <n v="8"/>
    <s v="Tiktok"/>
    <n v="2"/>
    <s v="5.1"/>
    <s v="OK"/>
    <b v="1"/>
    <s v="High"/>
    <s v="8"/>
    <n v="5.7"/>
    <b v="1"/>
  </r>
  <r>
    <n v="191"/>
    <n v="20"/>
    <s v="Female"/>
    <x v="0"/>
    <s v="Bangladesh"/>
    <n v="4.5"/>
    <s v="Instagram"/>
    <s v="Yes"/>
    <n v="7.2"/>
    <n v="5"/>
    <s v="Single"/>
    <n v="3"/>
    <n v="7"/>
    <s v="Instagram"/>
    <n v="1"/>
    <s v="7.2"/>
    <s v="OK"/>
    <b v="1"/>
    <s v="High"/>
    <s v="7"/>
    <n v="5.7"/>
    <b v="1"/>
  </r>
  <r>
    <n v="192"/>
    <n v="22"/>
    <s v="Male"/>
    <x v="1"/>
    <s v="India"/>
    <n v="4.8"/>
    <s v="Facebook"/>
    <s v="No"/>
    <n v="8"/>
    <n v="7"/>
    <s v="In Relationship"/>
    <n v="2"/>
    <n v="6"/>
    <s v="Facebook"/>
    <n v="0"/>
    <s v="8"/>
    <s v="OK"/>
    <s v="medium"/>
    <s v="Medium"/>
    <s v="6"/>
    <n v="5.7"/>
    <b v="1"/>
  </r>
  <r>
    <n v="193"/>
    <n v="19"/>
    <s v="Female"/>
    <x v="0"/>
    <s v="Nepal"/>
    <n v="6"/>
    <s v="TikTok"/>
    <s v="Yes"/>
    <n v="5"/>
    <n v="6"/>
    <s v="Single"/>
    <n v="4"/>
    <n v="8"/>
    <s v="Tiktok"/>
    <n v="2"/>
    <s v="5"/>
    <s v="OK"/>
    <b v="1"/>
    <s v="High"/>
    <s v="8"/>
    <n v="5.7"/>
    <b v="1"/>
  </r>
  <r>
    <n v="194"/>
    <n v="21"/>
    <s v="Male"/>
    <x v="1"/>
    <s v="Pakistan"/>
    <n v="4.2"/>
    <s v="Instagram"/>
    <s v="Yes"/>
    <n v="7.3"/>
    <n v="5"/>
    <s v="In Relationship"/>
    <n v="3"/>
    <n v="7"/>
    <s v="Instagram"/>
    <n v="1"/>
    <s v="7.3"/>
    <s v="OK"/>
    <b v="1"/>
    <s v="High"/>
    <s v="7"/>
    <n v="5.7"/>
    <b v="1"/>
  </r>
  <r>
    <n v="195"/>
    <n v="20"/>
    <s v="Female"/>
    <x v="0"/>
    <s v="Sri Lanka"/>
    <n v="4.5999999999999996"/>
    <s v="Facebook"/>
    <s v="No"/>
    <n v="8.1"/>
    <n v="7"/>
    <s v="Single"/>
    <n v="2"/>
    <n v="5"/>
    <s v="Facebook"/>
    <n v="0"/>
    <s v="8.1"/>
    <s v="OK"/>
    <s v="medium"/>
    <s v="Medium"/>
    <s v="5"/>
    <n v="5.7"/>
    <b v="1"/>
  </r>
  <r>
    <n v="196"/>
    <n v="22"/>
    <s v="Male"/>
    <x v="1"/>
    <s v="Maldives"/>
    <n v="4.9000000000000004"/>
    <s v="TikTok"/>
    <s v="Yes"/>
    <n v="4.9000000000000004"/>
    <n v="6"/>
    <s v="In Relationship"/>
    <n v="4"/>
    <n v="8"/>
    <s v="Tiktok"/>
    <n v="2"/>
    <s v="4.9"/>
    <s v="LESS SLEEP"/>
    <b v="1"/>
    <s v="High"/>
    <s v="8"/>
    <n v="5.7"/>
    <b v="1"/>
  </r>
  <r>
    <n v="197"/>
    <n v="19"/>
    <s v="Female"/>
    <x v="0"/>
    <s v="Bangladesh"/>
    <n v="4.4000000000000004"/>
    <s v="Instagram"/>
    <s v="Yes"/>
    <n v="7.4"/>
    <n v="5"/>
    <s v="Single"/>
    <n v="3"/>
    <n v="7"/>
    <s v="Instagram"/>
    <n v="1"/>
    <s v="7.4"/>
    <s v="OK"/>
    <b v="1"/>
    <s v="High"/>
    <s v="7"/>
    <n v="5.7"/>
    <b v="1"/>
  </r>
  <r>
    <n v="198"/>
    <n v="21"/>
    <s v="Male"/>
    <x v="1"/>
    <s v="India"/>
    <n v="4.7"/>
    <s v="Facebook"/>
    <s v="No"/>
    <n v="8.1999999999999993"/>
    <n v="7"/>
    <s v="In Relationship"/>
    <n v="2"/>
    <n v="6"/>
    <s v="Facebook"/>
    <n v="0"/>
    <s v="8.2"/>
    <s v="OK"/>
    <s v="medium"/>
    <s v="Medium"/>
    <s v="6"/>
    <n v="5.7"/>
    <b v="1"/>
  </r>
  <r>
    <n v="199"/>
    <n v="20"/>
    <s v="Female"/>
    <x v="0"/>
    <s v="Nepal"/>
    <n v="6.1"/>
    <s v="TikTok"/>
    <s v="Yes"/>
    <n v="4.8"/>
    <n v="6"/>
    <s v="Single"/>
    <n v="4"/>
    <n v="8"/>
    <s v="Tiktok"/>
    <n v="2"/>
    <s v="4.8"/>
    <s v="LESS SLEEP"/>
    <b v="1"/>
    <s v="High"/>
    <s v="8"/>
    <n v="5.7"/>
    <b v="1"/>
  </r>
  <r>
    <n v="200"/>
    <n v="22"/>
    <s v="Male"/>
    <x v="1"/>
    <s v="Pakistan"/>
    <n v="4.0999999999999996"/>
    <s v="Instagram"/>
    <s v="Yes"/>
    <n v="7.5"/>
    <n v="5"/>
    <s v="In Relationship"/>
    <n v="3"/>
    <n v="7"/>
    <s v="Instagram"/>
    <n v="1"/>
    <s v="7.5"/>
    <s v="OK"/>
    <b v="1"/>
    <s v="High"/>
    <s v="7"/>
    <n v="5.7"/>
    <b v="1"/>
  </r>
  <r>
    <n v="201"/>
    <n v="19"/>
    <s v="Female"/>
    <x v="0"/>
    <s v="Sri Lanka"/>
    <n v="4.5"/>
    <s v="Facebook"/>
    <s v="No"/>
    <n v="8.3000000000000007"/>
    <n v="7"/>
    <s v="Single"/>
    <n v="2"/>
    <n v="5"/>
    <s v="Facebook"/>
    <n v="0"/>
    <s v="8.3"/>
    <s v="OK"/>
    <s v="medium"/>
    <s v="Medium"/>
    <s v="5"/>
    <n v="5.6"/>
    <b v="1"/>
  </r>
  <r>
    <n v="202"/>
    <n v="21"/>
    <s v="Male"/>
    <x v="1"/>
    <s v="Maldives"/>
    <n v="4.8"/>
    <s v="TikTok"/>
    <s v="Yes"/>
    <n v="4.7"/>
    <n v="6"/>
    <s v="In Relationship"/>
    <n v="4"/>
    <n v="8"/>
    <s v="Tiktok"/>
    <n v="2"/>
    <s v="4.7"/>
    <s v="LESS SLEEP"/>
    <b v="1"/>
    <s v="High"/>
    <s v="8"/>
    <n v="5.6"/>
    <b v="1"/>
  </r>
  <r>
    <n v="203"/>
    <n v="20"/>
    <s v="Female"/>
    <x v="0"/>
    <s v="Bangladesh"/>
    <n v="4.3"/>
    <s v="Instagram"/>
    <s v="Yes"/>
    <n v="7.6"/>
    <n v="5"/>
    <s v="Single"/>
    <n v="3"/>
    <n v="7"/>
    <s v="Instagram"/>
    <n v="1"/>
    <s v="7.6"/>
    <s v="OK"/>
    <b v="1"/>
    <s v="High"/>
    <s v="7"/>
    <n v="5.6"/>
    <b v="1"/>
  </r>
  <r>
    <n v="204"/>
    <n v="22"/>
    <s v="Male"/>
    <x v="1"/>
    <s v="India"/>
    <n v="4.5999999999999996"/>
    <s v="Facebook"/>
    <s v="No"/>
    <n v="8.4"/>
    <n v="7"/>
    <s v="In Relationship"/>
    <n v="2"/>
    <n v="6"/>
    <s v="Facebook"/>
    <n v="0"/>
    <s v="8.4"/>
    <s v="OK"/>
    <s v="medium"/>
    <s v="Medium"/>
    <s v="6"/>
    <n v="5.6"/>
    <b v="1"/>
  </r>
  <r>
    <n v="205"/>
    <n v="19"/>
    <s v="Female"/>
    <x v="0"/>
    <s v="Nepal"/>
    <n v="6.2"/>
    <s v="TikTok"/>
    <s v="Yes"/>
    <n v="4.5999999999999996"/>
    <n v="6"/>
    <s v="Single"/>
    <n v="4"/>
    <n v="8"/>
    <s v="Tiktok"/>
    <n v="2"/>
    <s v="4.6"/>
    <s v="LESS SLEEP"/>
    <b v="1"/>
    <s v="High"/>
    <s v="8"/>
    <n v="5.6"/>
    <b v="1"/>
  </r>
  <r>
    <n v="206"/>
    <n v="21"/>
    <s v="Male"/>
    <x v="1"/>
    <s v="Pakistan"/>
    <n v="4"/>
    <s v="Instagram"/>
    <s v="Yes"/>
    <n v="7.7"/>
    <n v="5"/>
    <s v="In Relationship"/>
    <n v="3"/>
    <n v="7"/>
    <s v="Instagram"/>
    <n v="1"/>
    <s v="7.7"/>
    <s v="OK"/>
    <b v="1"/>
    <s v="High"/>
    <s v="7"/>
    <n v="5.6"/>
    <b v="1"/>
  </r>
  <r>
    <n v="207"/>
    <n v="20"/>
    <s v="Female"/>
    <x v="0"/>
    <s v="Sri Lanka"/>
    <n v="4.4000000000000004"/>
    <s v="Facebook"/>
    <s v="No"/>
    <n v="8.5"/>
    <n v="7"/>
    <s v="Single"/>
    <n v="2"/>
    <n v="5"/>
    <s v="Facebook"/>
    <n v="0"/>
    <s v="8.5"/>
    <s v="OK"/>
    <s v="medium"/>
    <s v="Medium"/>
    <s v="5"/>
    <n v="5.6"/>
    <b v="1"/>
  </r>
  <r>
    <n v="208"/>
    <n v="22"/>
    <s v="Male"/>
    <x v="1"/>
    <s v="Maldives"/>
    <n v="4.7"/>
    <s v="TikTok"/>
    <s v="Yes"/>
    <n v="4.5"/>
    <n v="6"/>
    <s v="In Relationship"/>
    <n v="4"/>
    <n v="8"/>
    <s v="Tiktok"/>
    <n v="2"/>
    <s v="4.5"/>
    <s v="LESS SLEEP"/>
    <b v="1"/>
    <s v="High"/>
    <s v="8"/>
    <n v="5.6"/>
    <b v="1"/>
  </r>
  <r>
    <n v="209"/>
    <n v="19"/>
    <s v="Female"/>
    <x v="0"/>
    <s v="Bangladesh"/>
    <n v="4.2"/>
    <s v="Instagram"/>
    <s v="Yes"/>
    <n v="7.8"/>
    <n v="5"/>
    <s v="Single"/>
    <n v="3"/>
    <n v="7"/>
    <s v="Instagram"/>
    <n v="1"/>
    <s v="7.8"/>
    <s v="OK"/>
    <b v="1"/>
    <s v="High"/>
    <s v="7"/>
    <n v="5.6"/>
    <b v="1"/>
  </r>
  <r>
    <n v="210"/>
    <n v="21"/>
    <s v="Male"/>
    <x v="1"/>
    <s v="India"/>
    <n v="4.5"/>
    <s v="Facebook"/>
    <s v="No"/>
    <n v="8.6"/>
    <n v="7"/>
    <s v="In Relationship"/>
    <n v="2"/>
    <n v="6"/>
    <s v="Facebook"/>
    <n v="0"/>
    <s v="8.6"/>
    <s v="OK"/>
    <s v="medium"/>
    <s v="Medium"/>
    <s v="6"/>
    <n v="5.6"/>
    <b v="1"/>
  </r>
  <r>
    <n v="211"/>
    <n v="20"/>
    <s v="Female"/>
    <x v="0"/>
    <s v="Nepal"/>
    <n v="6.3"/>
    <s v="TikTok"/>
    <s v="Yes"/>
    <n v="4.4000000000000004"/>
    <n v="6"/>
    <s v="Single"/>
    <n v="4"/>
    <n v="8"/>
    <s v="Tiktok"/>
    <n v="2"/>
    <s v="4.4"/>
    <s v="LESS SLEEP"/>
    <b v="1"/>
    <s v="High"/>
    <s v="8"/>
    <n v="5.6"/>
    <b v="1"/>
  </r>
  <r>
    <n v="212"/>
    <n v="22"/>
    <s v="Male"/>
    <x v="1"/>
    <s v="Pakistan"/>
    <n v="3.9"/>
    <s v="Instagram"/>
    <s v="Yes"/>
    <n v="7.9"/>
    <n v="5"/>
    <s v="In Relationship"/>
    <n v="3"/>
    <n v="7"/>
    <s v="Instagram"/>
    <n v="1"/>
    <s v="7.9"/>
    <s v="OK"/>
    <b v="1"/>
    <s v="High"/>
    <s v="7"/>
    <n v="5.6"/>
    <b v="1"/>
  </r>
  <r>
    <n v="213"/>
    <n v="19"/>
    <s v="Female"/>
    <x v="0"/>
    <s v="Sri Lanka"/>
    <n v="4.3"/>
    <s v="Facebook"/>
    <s v="No"/>
    <n v="8.6999999999999993"/>
    <n v="7"/>
    <s v="Single"/>
    <n v="2"/>
    <n v="5"/>
    <s v="Facebook"/>
    <n v="0"/>
    <s v="8.7"/>
    <s v="OK"/>
    <s v="medium"/>
    <s v="Medium"/>
    <s v="5"/>
    <n v="5.6"/>
    <b v="1"/>
  </r>
  <r>
    <n v="214"/>
    <n v="21"/>
    <s v="Male"/>
    <x v="1"/>
    <s v="Maldives"/>
    <n v="4.5999999999999996"/>
    <s v="TikTok"/>
    <s v="Yes"/>
    <n v="4.3"/>
    <n v="6"/>
    <s v="In Relationship"/>
    <n v="4"/>
    <n v="8"/>
    <s v="Tiktok"/>
    <n v="2"/>
    <s v="4.3"/>
    <s v="LESS SLEEP"/>
    <b v="1"/>
    <s v="High"/>
    <s v="8"/>
    <n v="5.6"/>
    <b v="1"/>
  </r>
  <r>
    <n v="215"/>
    <n v="20"/>
    <s v="Female"/>
    <x v="0"/>
    <s v="Bangladesh"/>
    <n v="4.0999999999999996"/>
    <s v="Instagram"/>
    <s v="Yes"/>
    <n v="8"/>
    <n v="5"/>
    <s v="Single"/>
    <n v="3"/>
    <n v="7"/>
    <s v="Instagram"/>
    <n v="1"/>
    <s v="8"/>
    <s v="OK"/>
    <b v="1"/>
    <s v="High"/>
    <s v="7"/>
    <n v="5.6"/>
    <b v="1"/>
  </r>
  <r>
    <n v="216"/>
    <n v="22"/>
    <s v="Male"/>
    <x v="1"/>
    <s v="India"/>
    <n v="4.4000000000000004"/>
    <s v="Facebook"/>
    <s v="No"/>
    <n v="8.8000000000000007"/>
    <n v="7"/>
    <s v="In Relationship"/>
    <n v="2"/>
    <n v="6"/>
    <s v="Facebook"/>
    <n v="0"/>
    <s v="8.8"/>
    <s v="OK"/>
    <s v="medium"/>
    <s v="Medium"/>
    <s v="6"/>
    <n v="5.6"/>
    <b v="1"/>
  </r>
  <r>
    <n v="217"/>
    <n v="19"/>
    <s v="Female"/>
    <x v="0"/>
    <s v="Nepal"/>
    <n v="6.4"/>
    <s v="TikTok"/>
    <s v="Yes"/>
    <n v="4.2"/>
    <n v="6"/>
    <s v="Single"/>
    <n v="4"/>
    <n v="8"/>
    <s v="Tiktok"/>
    <n v="2"/>
    <s v="4.2"/>
    <s v="LESS SLEEP"/>
    <b v="1"/>
    <s v="High"/>
    <s v="8"/>
    <n v="5.6"/>
    <b v="1"/>
  </r>
  <r>
    <n v="218"/>
    <n v="21"/>
    <s v="Male"/>
    <x v="1"/>
    <s v="Pakistan"/>
    <n v="3.8"/>
    <s v="Instagram"/>
    <s v="Yes"/>
    <n v="8.1"/>
    <n v="5"/>
    <s v="In Relationship"/>
    <n v="3"/>
    <n v="7"/>
    <s v="Instagram"/>
    <n v="1"/>
    <s v="8.1"/>
    <s v="OK"/>
    <b v="1"/>
    <s v="High"/>
    <s v="7"/>
    <n v="5.6"/>
    <b v="1"/>
  </r>
  <r>
    <n v="219"/>
    <n v="20"/>
    <s v="Female"/>
    <x v="0"/>
    <s v="Sri Lanka"/>
    <n v="4.2"/>
    <s v="Facebook"/>
    <s v="No"/>
    <n v="8.9"/>
    <n v="7"/>
    <s v="Single"/>
    <n v="2"/>
    <n v="5"/>
    <s v="Facebook"/>
    <n v="0"/>
    <s v="8.9"/>
    <s v="OK"/>
    <s v="medium"/>
    <s v="Medium"/>
    <s v="5"/>
    <n v="5.6"/>
    <b v="1"/>
  </r>
  <r>
    <n v="220"/>
    <n v="22"/>
    <s v="Male"/>
    <x v="1"/>
    <s v="Maldives"/>
    <n v="4.5"/>
    <s v="TikTok"/>
    <s v="Yes"/>
    <n v="4.0999999999999996"/>
    <n v="6"/>
    <s v="In Relationship"/>
    <n v="4"/>
    <n v="8"/>
    <s v="Tiktok"/>
    <n v="2"/>
    <s v="4.1"/>
    <s v="LESS SLEEP"/>
    <b v="1"/>
    <s v="High"/>
    <s v="8"/>
    <n v="5.5"/>
    <b v="1"/>
  </r>
  <r>
    <n v="221"/>
    <n v="19"/>
    <s v="Female"/>
    <x v="0"/>
    <s v="USA"/>
    <n v="6.5"/>
    <s v="Instagram"/>
    <s v="Yes"/>
    <n v="6"/>
    <n v="5"/>
    <s v="Single"/>
    <n v="4"/>
    <n v="9"/>
    <s v="Instagram"/>
    <n v="1"/>
    <s v="6"/>
    <s v="OK"/>
    <b v="1"/>
    <s v="High"/>
    <s v="9"/>
    <n v="5.5"/>
    <b v="1"/>
  </r>
  <r>
    <n v="222"/>
    <n v="21"/>
    <s v="Male"/>
    <x v="1"/>
    <s v="UK"/>
    <n v="5.8"/>
    <s v="TikTok"/>
    <s v="Yes"/>
    <n v="6.5"/>
    <n v="6"/>
    <s v="In Relationship"/>
    <n v="3"/>
    <n v="7"/>
    <s v="Tiktok"/>
    <n v="2"/>
    <s v="6.5"/>
    <s v="OK"/>
    <b v="1"/>
    <s v="High"/>
    <s v="7"/>
    <n v="5.5"/>
    <b v="1"/>
  </r>
  <r>
    <n v="223"/>
    <n v="20"/>
    <s v="Female"/>
    <x v="0"/>
    <s v="Australia"/>
    <n v="4.5"/>
    <s v="Instagram"/>
    <s v="No"/>
    <n v="7.5"/>
    <n v="8"/>
    <s v="Single"/>
    <n v="2"/>
    <n v="5"/>
    <s v="Instagram"/>
    <n v="1"/>
    <s v="7.5"/>
    <s v="OK"/>
    <s v="medium"/>
    <s v="Medium"/>
    <s v="5"/>
    <n v="5.5"/>
    <b v="1"/>
  </r>
  <r>
    <n v="224"/>
    <n v="22"/>
    <s v="Male"/>
    <x v="1"/>
    <s v="Germany"/>
    <n v="4.2"/>
    <s v="Facebook"/>
    <s v="No"/>
    <n v="7.8"/>
    <n v="7"/>
    <s v="In Relationship"/>
    <n v="2"/>
    <n v="4"/>
    <s v="Facebook"/>
    <n v="0"/>
    <s v="7.8"/>
    <s v="OK"/>
    <s v="medium"/>
    <s v="Low"/>
    <s v="4"/>
    <n v="5.5"/>
    <b v="1"/>
  </r>
  <r>
    <n v="225"/>
    <n v="19"/>
    <s v="Female"/>
    <x v="0"/>
    <s v="Japan"/>
    <n v="3.8"/>
    <s v="LINE"/>
    <s v="No"/>
    <n v="7.9"/>
    <n v="8"/>
    <s v="Single"/>
    <n v="1"/>
    <n v="3"/>
    <s v="Line"/>
    <n v="0"/>
    <s v="7.9"/>
    <s v="OK"/>
    <s v="medium"/>
    <s v="Low"/>
    <s v="3"/>
    <n v="5.5"/>
    <b v="1"/>
  </r>
  <r>
    <n v="226"/>
    <n v="21"/>
    <s v="Male"/>
    <x v="1"/>
    <s v="Italy"/>
    <n v="5.5"/>
    <s v="Instagram"/>
    <s v="Yes"/>
    <n v="6.8"/>
    <n v="6"/>
    <s v="Single"/>
    <n v="3"/>
    <n v="7"/>
    <s v="Instagram"/>
    <n v="1"/>
    <s v="6.8"/>
    <s v="OK"/>
    <b v="1"/>
    <s v="High"/>
    <s v="7"/>
    <n v="5.5"/>
    <b v="1"/>
  </r>
  <r>
    <n v="227"/>
    <n v="20"/>
    <s v="Female"/>
    <x v="0"/>
    <s v="South Korea"/>
    <n v="5.2"/>
    <s v="KakaoTalk"/>
    <s v="Yes"/>
    <n v="6.5"/>
    <n v="6"/>
    <s v="In Relationship"/>
    <n v="3"/>
    <n v="6"/>
    <s v="Kakaotalk"/>
    <n v="1"/>
    <s v="6.5"/>
    <s v="OK"/>
    <s v="medium"/>
    <s v="Medium"/>
    <s v="6"/>
    <n v="5.5"/>
    <b v="1"/>
  </r>
  <r>
    <n v="228"/>
    <n v="22"/>
    <s v="Male"/>
    <x v="1"/>
    <s v="Russia"/>
    <n v="4.8"/>
    <s v="VKontakte"/>
    <s v="No"/>
    <n v="7.2"/>
    <n v="7"/>
    <s v="Single"/>
    <n v="2"/>
    <n v="5"/>
    <s v="Vkontakte"/>
    <n v="2"/>
    <s v="7.2"/>
    <s v="OK"/>
    <s v="medium"/>
    <s v="Medium"/>
    <s v="5"/>
    <n v="5.5"/>
    <b v="1"/>
  </r>
  <r>
    <n v="229"/>
    <n v="19"/>
    <s v="Female"/>
    <x v="0"/>
    <s v="USA"/>
    <n v="7"/>
    <s v="TikTok"/>
    <s v="Yes"/>
    <n v="5.8"/>
    <n v="4"/>
    <s v="In Relationship"/>
    <n v="4"/>
    <n v="9"/>
    <s v="Tiktok"/>
    <n v="2"/>
    <s v="5.8"/>
    <s v="OK"/>
    <b v="1"/>
    <s v="High"/>
    <s v="9"/>
    <n v="5.5"/>
    <b v="1"/>
  </r>
  <r>
    <n v="230"/>
    <n v="21"/>
    <s v="Male"/>
    <x v="1"/>
    <s v="UK"/>
    <n v="5.5"/>
    <s v="Instagram"/>
    <s v="Yes"/>
    <n v="6.7"/>
    <n v="6"/>
    <s v="Single"/>
    <n v="3"/>
    <n v="7"/>
    <s v="Instagram"/>
    <n v="1"/>
    <s v="6.7"/>
    <s v="OK"/>
    <b v="1"/>
    <s v="High"/>
    <s v="7"/>
    <n v="5.5"/>
    <b v="1"/>
  </r>
  <r>
    <n v="231"/>
    <n v="20"/>
    <s v="Female"/>
    <x v="0"/>
    <s v="Australia"/>
    <n v="4.7"/>
    <s v="Facebook"/>
    <s v="No"/>
    <n v="7.4"/>
    <n v="7"/>
    <s v="In Relationship"/>
    <n v="2"/>
    <n v="5"/>
    <s v="Facebook"/>
    <n v="0"/>
    <s v="7.4"/>
    <s v="OK"/>
    <s v="medium"/>
    <s v="Medium"/>
    <s v="5"/>
    <n v="5.5"/>
    <b v="1"/>
  </r>
  <r>
    <n v="232"/>
    <n v="22"/>
    <s v="Male"/>
    <x v="1"/>
    <s v="Germany"/>
    <n v="4"/>
    <s v="Instagram"/>
    <s v="No"/>
    <n v="7.9"/>
    <n v="8"/>
    <s v="Single"/>
    <n v="1"/>
    <n v="4"/>
    <s v="Instagram"/>
    <n v="1"/>
    <s v="7.9"/>
    <s v="OK"/>
    <s v="medium"/>
    <s v="Low"/>
    <s v="4"/>
    <n v="5.5"/>
    <b v="1"/>
  </r>
  <r>
    <n v="233"/>
    <n v="19"/>
    <s v="Female"/>
    <x v="0"/>
    <s v="Japan"/>
    <n v="3.5"/>
    <s v="LINE"/>
    <s v="No"/>
    <n v="8"/>
    <n v="8"/>
    <s v="Single"/>
    <n v="1"/>
    <n v="3"/>
    <s v="Line"/>
    <n v="0"/>
    <s v="8"/>
    <s v="OK"/>
    <s v="medium"/>
    <s v="Low"/>
    <s v="3"/>
    <n v="5.5"/>
    <b v="1"/>
  </r>
  <r>
    <n v="234"/>
    <n v="21"/>
    <s v="Male"/>
    <x v="1"/>
    <s v="Italy"/>
    <n v="5.7"/>
    <s v="TikTok"/>
    <s v="Yes"/>
    <n v="6.5"/>
    <n v="5"/>
    <s v="In Relationship"/>
    <n v="3"/>
    <n v="8"/>
    <s v="Tiktok"/>
    <n v="2"/>
    <s v="6.5"/>
    <s v="OK"/>
    <b v="1"/>
    <s v="High"/>
    <s v="8"/>
    <n v="5.5"/>
    <b v="1"/>
  </r>
  <r>
    <n v="235"/>
    <n v="20"/>
    <s v="Female"/>
    <x v="0"/>
    <s v="South Korea"/>
    <n v="5"/>
    <s v="KakaoTalk"/>
    <s v="Yes"/>
    <n v="6.8"/>
    <n v="6"/>
    <s v="Single"/>
    <n v="3"/>
    <n v="6"/>
    <s v="Kakaotalk"/>
    <n v="1"/>
    <s v="6.8"/>
    <s v="OK"/>
    <s v="medium"/>
    <s v="Medium"/>
    <s v="6"/>
    <n v="5.5"/>
    <b v="1"/>
  </r>
  <r>
    <n v="236"/>
    <n v="22"/>
    <s v="Male"/>
    <x v="1"/>
    <s v="Russia"/>
    <n v="4.5"/>
    <s v="VKontakte"/>
    <s v="No"/>
    <n v="7.4"/>
    <n v="7"/>
    <s v="In Relationship"/>
    <n v="2"/>
    <n v="5"/>
    <s v="Vkontakte"/>
    <n v="2"/>
    <s v="7.4"/>
    <s v="OK"/>
    <s v="medium"/>
    <s v="Medium"/>
    <s v="5"/>
    <n v="5.5"/>
    <b v="1"/>
  </r>
  <r>
    <n v="237"/>
    <n v="19"/>
    <s v="Female"/>
    <x v="0"/>
    <s v="USA"/>
    <n v="6.8"/>
    <s v="Instagram"/>
    <s v="Yes"/>
    <n v="5.9"/>
    <n v="4"/>
    <s v="Single"/>
    <n v="4"/>
    <n v="9"/>
    <s v="Instagram"/>
    <n v="1"/>
    <s v="5.9"/>
    <s v="OK"/>
    <b v="1"/>
    <s v="High"/>
    <s v="9"/>
    <n v="5.5"/>
    <b v="1"/>
  </r>
  <r>
    <n v="238"/>
    <n v="21"/>
    <s v="Male"/>
    <x v="1"/>
    <s v="UK"/>
    <n v="5.6"/>
    <s v="Facebook"/>
    <s v="Yes"/>
    <n v="6.6"/>
    <n v="6"/>
    <s v="In Relationship"/>
    <n v="3"/>
    <n v="7"/>
    <s v="Facebook"/>
    <n v="0"/>
    <s v="6.6"/>
    <s v="OK"/>
    <b v="1"/>
    <s v="High"/>
    <s v="7"/>
    <n v="5.5"/>
    <b v="1"/>
  </r>
  <r>
    <n v="239"/>
    <n v="20"/>
    <s v="Female"/>
    <x v="0"/>
    <s v="Australia"/>
    <n v="4.5999999999999996"/>
    <s v="Instagram"/>
    <s v="No"/>
    <n v="7.3"/>
    <n v="7"/>
    <s v="Single"/>
    <n v="2"/>
    <n v="5"/>
    <s v="Instagram"/>
    <n v="1"/>
    <s v="7.3"/>
    <s v="OK"/>
    <s v="medium"/>
    <s v="Medium"/>
    <s v="5"/>
    <n v="5.4"/>
    <b v="1"/>
  </r>
  <r>
    <n v="240"/>
    <n v="22"/>
    <s v="Male"/>
    <x v="1"/>
    <s v="Germany"/>
    <n v="4.0999999999999996"/>
    <s v="Facebook"/>
    <s v="No"/>
    <n v="7.7"/>
    <n v="8"/>
    <s v="In Relationship"/>
    <n v="2"/>
    <n v="4"/>
    <s v="Facebook"/>
    <n v="0"/>
    <s v="7.7"/>
    <s v="OK"/>
    <s v="medium"/>
    <s v="Low"/>
    <s v="4"/>
    <n v="5.4"/>
    <b v="1"/>
  </r>
  <r>
    <n v="241"/>
    <n v="19"/>
    <s v="Female"/>
    <x v="0"/>
    <s v="Japan"/>
    <n v="3.7"/>
    <s v="LINE"/>
    <s v="No"/>
    <n v="7.8"/>
    <n v="8"/>
    <s v="Single"/>
    <n v="1"/>
    <n v="3"/>
    <s v="Line"/>
    <n v="0"/>
    <s v="7.8"/>
    <s v="OK"/>
    <s v="medium"/>
    <s v="Low"/>
    <s v="3"/>
    <n v="5.4"/>
    <b v="1"/>
  </r>
  <r>
    <n v="242"/>
    <n v="21"/>
    <s v="Male"/>
    <x v="1"/>
    <s v="Italy"/>
    <n v="5.4"/>
    <s v="Instagram"/>
    <s v="Yes"/>
    <n v="6.7"/>
    <n v="5"/>
    <s v="Single"/>
    <n v="3"/>
    <n v="7"/>
    <s v="Instagram"/>
    <n v="1"/>
    <s v="6.7"/>
    <s v="OK"/>
    <b v="1"/>
    <s v="High"/>
    <s v="7"/>
    <n v="5.4"/>
    <b v="1"/>
  </r>
  <r>
    <n v="243"/>
    <n v="20"/>
    <s v="Female"/>
    <x v="0"/>
    <s v="South Korea"/>
    <n v="5.0999999999999996"/>
    <s v="KakaoTalk"/>
    <s v="Yes"/>
    <n v="6.6"/>
    <n v="6"/>
    <s v="In Relationship"/>
    <n v="3"/>
    <n v="6"/>
    <s v="Kakaotalk"/>
    <n v="1"/>
    <s v="6.6"/>
    <s v="OK"/>
    <s v="medium"/>
    <s v="Medium"/>
    <s v="6"/>
    <n v="5.4"/>
    <b v="1"/>
  </r>
  <r>
    <n v="244"/>
    <n v="22"/>
    <s v="Male"/>
    <x v="1"/>
    <s v="Russia"/>
    <n v="4.7"/>
    <s v="VKontakte"/>
    <s v="No"/>
    <n v="7.3"/>
    <n v="7"/>
    <s v="Single"/>
    <n v="2"/>
    <n v="5"/>
    <s v="Vkontakte"/>
    <n v="2"/>
    <s v="7.3"/>
    <s v="OK"/>
    <s v="medium"/>
    <s v="Medium"/>
    <s v="5"/>
    <n v="5.4"/>
    <b v="1"/>
  </r>
  <r>
    <n v="245"/>
    <n v="19"/>
    <s v="Female"/>
    <x v="0"/>
    <s v="USA"/>
    <n v="6.9"/>
    <s v="TikTok"/>
    <s v="Yes"/>
    <n v="5.7"/>
    <n v="4"/>
    <s v="In Relationship"/>
    <n v="4"/>
    <n v="9"/>
    <s v="Tiktok"/>
    <n v="2"/>
    <s v="5.7"/>
    <s v="OK"/>
    <b v="1"/>
    <s v="High"/>
    <s v="9"/>
    <n v="5.4"/>
    <b v="1"/>
  </r>
  <r>
    <n v="246"/>
    <n v="21"/>
    <s v="Male"/>
    <x v="1"/>
    <s v="UK"/>
    <n v="5.7"/>
    <s v="Instagram"/>
    <s v="Yes"/>
    <n v="6.4"/>
    <n v="6"/>
    <s v="Single"/>
    <n v="3"/>
    <n v="7"/>
    <s v="Instagram"/>
    <n v="1"/>
    <s v="6.4"/>
    <s v="OK"/>
    <b v="1"/>
    <s v="High"/>
    <s v="7"/>
    <n v="5.4"/>
    <b v="1"/>
  </r>
  <r>
    <n v="247"/>
    <n v="20"/>
    <s v="Female"/>
    <x v="0"/>
    <s v="Australia"/>
    <n v="4.8"/>
    <s v="Facebook"/>
    <s v="No"/>
    <n v="7.2"/>
    <n v="7"/>
    <s v="In Relationship"/>
    <n v="2"/>
    <n v="5"/>
    <s v="Facebook"/>
    <n v="0"/>
    <s v="7.2"/>
    <s v="OK"/>
    <s v="medium"/>
    <s v="Medium"/>
    <s v="5"/>
    <n v="5.4"/>
    <b v="1"/>
  </r>
  <r>
    <n v="248"/>
    <n v="22"/>
    <s v="Male"/>
    <x v="1"/>
    <s v="Germany"/>
    <n v="3.9"/>
    <s v="Instagram"/>
    <s v="No"/>
    <n v="7.8"/>
    <n v="8"/>
    <s v="Single"/>
    <n v="1"/>
    <n v="4"/>
    <s v="Instagram"/>
    <n v="1"/>
    <s v="7.8"/>
    <s v="OK"/>
    <s v="medium"/>
    <s v="Low"/>
    <s v="4"/>
    <n v="5.4"/>
    <b v="1"/>
  </r>
  <r>
    <n v="249"/>
    <n v="19"/>
    <s v="Female"/>
    <x v="0"/>
    <s v="Japan"/>
    <n v="3.6"/>
    <s v="LINE"/>
    <s v="No"/>
    <n v="8.1"/>
    <n v="8"/>
    <s v="Single"/>
    <n v="1"/>
    <n v="3"/>
    <s v="Line"/>
    <n v="0"/>
    <s v="8.1"/>
    <s v="OK"/>
    <s v="medium"/>
    <s v="Low"/>
    <s v="3"/>
    <n v="5.4"/>
    <b v="1"/>
  </r>
  <r>
    <n v="250"/>
    <n v="21"/>
    <s v="Male"/>
    <x v="1"/>
    <s v="Italy"/>
    <n v="5.6"/>
    <s v="TikTok"/>
    <s v="Yes"/>
    <n v="6.6"/>
    <n v="5"/>
    <s v="In Relationship"/>
    <n v="3"/>
    <n v="8"/>
    <s v="Tiktok"/>
    <n v="2"/>
    <s v="6.6"/>
    <s v="OK"/>
    <b v="1"/>
    <s v="High"/>
    <s v="8"/>
    <n v="5.4"/>
    <b v="1"/>
  </r>
  <r>
    <n v="251"/>
    <n v="20"/>
    <s v="Female"/>
    <x v="0"/>
    <s v="South Korea"/>
    <n v="4.9000000000000004"/>
    <s v="KakaoTalk"/>
    <s v="Yes"/>
    <n v="6.9"/>
    <n v="6"/>
    <s v="Single"/>
    <n v="3"/>
    <n v="6"/>
    <s v="Kakaotalk"/>
    <n v="1"/>
    <s v="6.9"/>
    <s v="OK"/>
    <s v="medium"/>
    <s v="Medium"/>
    <s v="6"/>
    <n v="5.4"/>
    <b v="1"/>
  </r>
  <r>
    <n v="252"/>
    <n v="22"/>
    <s v="Male"/>
    <x v="1"/>
    <s v="Russia"/>
    <n v="4.5999999999999996"/>
    <s v="VKontakte"/>
    <s v="No"/>
    <n v="7.5"/>
    <n v="7"/>
    <s v="In Relationship"/>
    <n v="2"/>
    <n v="5"/>
    <s v="Vkontakte"/>
    <n v="2"/>
    <s v="7.5"/>
    <s v="OK"/>
    <s v="medium"/>
    <s v="Medium"/>
    <s v="5"/>
    <n v="5.4"/>
    <b v="1"/>
  </r>
  <r>
    <n v="253"/>
    <n v="19"/>
    <s v="Female"/>
    <x v="0"/>
    <s v="USA"/>
    <n v="6.7"/>
    <s v="Instagram"/>
    <s v="Yes"/>
    <n v="5.8"/>
    <n v="4"/>
    <s v="Single"/>
    <n v="4"/>
    <n v="9"/>
    <s v="Instagram"/>
    <n v="1"/>
    <s v="5.8"/>
    <s v="OK"/>
    <b v="1"/>
    <s v="High"/>
    <s v="9"/>
    <n v="5.3"/>
    <b v="1"/>
  </r>
  <r>
    <n v="254"/>
    <n v="21"/>
    <s v="Male"/>
    <x v="1"/>
    <s v="UK"/>
    <n v="5.4"/>
    <s v="Facebook"/>
    <s v="Yes"/>
    <n v="6.5"/>
    <n v="6"/>
    <s v="In Relationship"/>
    <n v="3"/>
    <n v="7"/>
    <s v="Facebook"/>
    <n v="0"/>
    <s v="6.5"/>
    <s v="OK"/>
    <b v="1"/>
    <s v="High"/>
    <s v="7"/>
    <n v="5.3"/>
    <b v="1"/>
  </r>
  <r>
    <n v="255"/>
    <n v="20"/>
    <s v="Female"/>
    <x v="0"/>
    <s v="Australia"/>
    <n v="4.4000000000000004"/>
    <s v="Instagram"/>
    <s v="No"/>
    <n v="7.4"/>
    <n v="7"/>
    <s v="Single"/>
    <n v="2"/>
    <n v="5"/>
    <s v="Instagram"/>
    <n v="1"/>
    <s v="7.4"/>
    <s v="OK"/>
    <s v="medium"/>
    <s v="Medium"/>
    <s v="5"/>
    <n v="5.3"/>
    <b v="1"/>
  </r>
  <r>
    <n v="256"/>
    <n v="22"/>
    <s v="Male"/>
    <x v="1"/>
    <s v="Germany"/>
    <n v="4"/>
    <s v="Facebook"/>
    <s v="No"/>
    <n v="7.6"/>
    <n v="8"/>
    <s v="In Relationship"/>
    <n v="2"/>
    <n v="4"/>
    <s v="Facebook"/>
    <n v="0"/>
    <s v="7.6"/>
    <s v="OK"/>
    <s v="medium"/>
    <s v="Low"/>
    <s v="4"/>
    <n v="5.3"/>
    <b v="1"/>
  </r>
  <r>
    <n v="257"/>
    <n v="19"/>
    <s v="Female"/>
    <x v="0"/>
    <s v="Japan"/>
    <n v="3.4"/>
    <s v="LINE"/>
    <s v="No"/>
    <n v="8.1999999999999993"/>
    <n v="8"/>
    <s v="Single"/>
    <n v="1"/>
    <n v="3"/>
    <s v="Line"/>
    <n v="0"/>
    <s v="8.2"/>
    <s v="OK"/>
    <s v="medium"/>
    <s v="Low"/>
    <s v="3"/>
    <n v="5.3"/>
    <b v="1"/>
  </r>
  <r>
    <n v="258"/>
    <n v="21"/>
    <s v="Male"/>
    <x v="1"/>
    <s v="Italy"/>
    <n v="5.3"/>
    <s v="Instagram"/>
    <s v="Yes"/>
    <n v="6.8"/>
    <n v="5"/>
    <s v="Single"/>
    <n v="3"/>
    <n v="7"/>
    <s v="Instagram"/>
    <n v="1"/>
    <s v="6.8"/>
    <s v="OK"/>
    <b v="1"/>
    <s v="High"/>
    <s v="7"/>
    <n v="5.3"/>
    <b v="1"/>
  </r>
  <r>
    <n v="259"/>
    <n v="20"/>
    <s v="Female"/>
    <x v="0"/>
    <s v="South Korea"/>
    <n v="5"/>
    <s v="KakaoTalk"/>
    <s v="Yes"/>
    <n v="6.7"/>
    <n v="6"/>
    <s v="In Relationship"/>
    <n v="3"/>
    <n v="6"/>
    <s v="Kakaotalk"/>
    <n v="1"/>
    <s v="6.7"/>
    <s v="OK"/>
    <s v="medium"/>
    <s v="Medium"/>
    <s v="6"/>
    <n v="5.3"/>
    <b v="1"/>
  </r>
  <r>
    <n v="260"/>
    <n v="22"/>
    <s v="Male"/>
    <x v="1"/>
    <s v="Russia"/>
    <n v="4.4000000000000004"/>
    <s v="VKontakte"/>
    <s v="No"/>
    <n v="7.6"/>
    <n v="7"/>
    <s v="Single"/>
    <n v="2"/>
    <n v="5"/>
    <s v="Vkontakte"/>
    <n v="2"/>
    <s v="7.6"/>
    <s v="OK"/>
    <s v="medium"/>
    <s v="Medium"/>
    <s v="5"/>
    <n v="5.3"/>
    <b v="1"/>
  </r>
  <r>
    <n v="261"/>
    <n v="19"/>
    <s v="Female"/>
    <x v="0"/>
    <s v="USA"/>
    <n v="6.6"/>
    <s v="TikTok"/>
    <s v="Yes"/>
    <n v="5.6"/>
    <n v="4"/>
    <s v="In Relationship"/>
    <n v="4"/>
    <n v="9"/>
    <s v="Tiktok"/>
    <n v="2"/>
    <s v="5.6"/>
    <s v="OK"/>
    <b v="1"/>
    <s v="High"/>
    <s v="9"/>
    <n v="5.3"/>
    <b v="1"/>
  </r>
  <r>
    <n v="262"/>
    <n v="21"/>
    <s v="Male"/>
    <x v="1"/>
    <s v="UK"/>
    <n v="5.3"/>
    <s v="Instagram"/>
    <s v="Yes"/>
    <n v="6.3"/>
    <n v="6"/>
    <s v="Single"/>
    <n v="3"/>
    <n v="7"/>
    <s v="Instagram"/>
    <n v="1"/>
    <s v="6.3"/>
    <s v="OK"/>
    <b v="1"/>
    <s v="High"/>
    <s v="7"/>
    <n v="5.3"/>
    <b v="1"/>
  </r>
  <r>
    <n v="263"/>
    <n v="20"/>
    <s v="Female"/>
    <x v="0"/>
    <s v="Australia"/>
    <n v="4.3"/>
    <s v="Facebook"/>
    <s v="No"/>
    <n v="7.5"/>
    <n v="7"/>
    <s v="In Relationship"/>
    <n v="2"/>
    <n v="5"/>
    <s v="Facebook"/>
    <n v="0"/>
    <s v="7.5"/>
    <s v="OK"/>
    <s v="medium"/>
    <s v="Medium"/>
    <s v="5"/>
    <n v="5.3"/>
    <b v="1"/>
  </r>
  <r>
    <n v="264"/>
    <n v="22"/>
    <s v="Male"/>
    <x v="1"/>
    <s v="Germany"/>
    <n v="3.8"/>
    <s v="Instagram"/>
    <s v="No"/>
    <n v="7.7"/>
    <n v="8"/>
    <s v="Single"/>
    <n v="1"/>
    <n v="4"/>
    <s v="Instagram"/>
    <n v="1"/>
    <s v="7.7"/>
    <s v="OK"/>
    <s v="medium"/>
    <s v="Low"/>
    <s v="4"/>
    <n v="5.3"/>
    <b v="1"/>
  </r>
  <r>
    <n v="265"/>
    <n v="19"/>
    <s v="Female"/>
    <x v="0"/>
    <s v="Japan"/>
    <n v="3.3"/>
    <s v="LINE"/>
    <s v="No"/>
    <n v="8.3000000000000007"/>
    <n v="8"/>
    <s v="Single"/>
    <n v="1"/>
    <n v="3"/>
    <s v="Line"/>
    <n v="0"/>
    <s v="8.3"/>
    <s v="OK"/>
    <s v="medium"/>
    <s v="Low"/>
    <s v="3"/>
    <n v="5.3"/>
    <b v="1"/>
  </r>
  <r>
    <n v="266"/>
    <n v="21"/>
    <s v="Male"/>
    <x v="1"/>
    <s v="Italy"/>
    <n v="5.2"/>
    <s v="TikTok"/>
    <s v="Yes"/>
    <n v="6.9"/>
    <n v="5"/>
    <s v="In Relationship"/>
    <n v="3"/>
    <n v="8"/>
    <s v="Tiktok"/>
    <n v="2"/>
    <s v="6.9"/>
    <s v="OK"/>
    <b v="1"/>
    <s v="High"/>
    <s v="8"/>
    <n v="5.3"/>
    <b v="1"/>
  </r>
  <r>
    <n v="267"/>
    <n v="20"/>
    <s v="Female"/>
    <x v="0"/>
    <s v="South Korea"/>
    <n v="4.8"/>
    <s v="KakaoTalk"/>
    <s v="Yes"/>
    <n v="7"/>
    <n v="6"/>
    <s v="Single"/>
    <n v="3"/>
    <n v="6"/>
    <s v="Kakaotalk"/>
    <n v="1"/>
    <s v="7"/>
    <s v="OK"/>
    <s v="medium"/>
    <s v="Medium"/>
    <s v="6"/>
    <n v="5.2"/>
    <b v="1"/>
  </r>
  <r>
    <n v="268"/>
    <n v="22"/>
    <s v="Male"/>
    <x v="1"/>
    <s v="Russia"/>
    <n v="4.3"/>
    <s v="VKontakte"/>
    <s v="No"/>
    <n v="7.7"/>
    <n v="7"/>
    <s v="In Relationship"/>
    <n v="2"/>
    <n v="5"/>
    <s v="Vkontakte"/>
    <n v="2"/>
    <s v="7.7"/>
    <s v="OK"/>
    <s v="medium"/>
    <s v="Medium"/>
    <s v="5"/>
    <n v="5.2"/>
    <b v="1"/>
  </r>
  <r>
    <n v="269"/>
    <n v="19"/>
    <s v="Female"/>
    <x v="0"/>
    <s v="USA"/>
    <n v="6.4"/>
    <s v="Instagram"/>
    <s v="Yes"/>
    <n v="5.7"/>
    <n v="4"/>
    <s v="Single"/>
    <n v="4"/>
    <n v="9"/>
    <s v="Instagram"/>
    <n v="1"/>
    <s v="5.7"/>
    <s v="OK"/>
    <b v="1"/>
    <s v="High"/>
    <s v="9"/>
    <n v="5.2"/>
    <b v="1"/>
  </r>
  <r>
    <n v="270"/>
    <n v="21"/>
    <s v="Male"/>
    <x v="1"/>
    <s v="UK"/>
    <n v="5.2"/>
    <s v="Facebook"/>
    <s v="Yes"/>
    <n v="6.4"/>
    <n v="6"/>
    <s v="In Relationship"/>
    <n v="3"/>
    <n v="7"/>
    <s v="Facebook"/>
    <n v="0"/>
    <s v="6.4"/>
    <s v="OK"/>
    <b v="1"/>
    <s v="High"/>
    <s v="7"/>
    <n v="5.2"/>
    <b v="1"/>
  </r>
  <r>
    <n v="271"/>
    <n v="20"/>
    <s v="Female"/>
    <x v="0"/>
    <s v="Australia"/>
    <n v="4.5"/>
    <s v="Instagram"/>
    <s v="No"/>
    <n v="7.3"/>
    <n v="7"/>
    <s v="Single"/>
    <n v="2"/>
    <n v="5"/>
    <s v="Instagram"/>
    <n v="1"/>
    <s v="7.3"/>
    <s v="OK"/>
    <s v="medium"/>
    <s v="Medium"/>
    <s v="5"/>
    <n v="5.2"/>
    <b v="1"/>
  </r>
  <r>
    <n v="272"/>
    <n v="22"/>
    <s v="Male"/>
    <x v="1"/>
    <s v="Germany"/>
    <n v="3.7"/>
    <s v="Facebook"/>
    <s v="No"/>
    <n v="7.8"/>
    <n v="8"/>
    <s v="In Relationship"/>
    <n v="1"/>
    <n v="4"/>
    <s v="Facebook"/>
    <n v="0"/>
    <s v="7.8"/>
    <s v="OK"/>
    <s v="medium"/>
    <s v="Low"/>
    <s v="4"/>
    <n v="5.2"/>
    <b v="1"/>
  </r>
  <r>
    <n v="273"/>
    <n v="19"/>
    <s v="Female"/>
    <x v="0"/>
    <s v="Japan"/>
    <n v="3.2"/>
    <s v="LINE"/>
    <s v="No"/>
    <n v="8.4"/>
    <n v="8"/>
    <s v="Single"/>
    <n v="1"/>
    <n v="3"/>
    <s v="Line"/>
    <n v="0"/>
    <s v="8.4"/>
    <s v="OK"/>
    <s v="medium"/>
    <s v="Low"/>
    <s v="3"/>
    <n v="5.2"/>
    <b v="1"/>
  </r>
  <r>
    <n v="274"/>
    <n v="21"/>
    <s v="Male"/>
    <x v="1"/>
    <s v="Italy"/>
    <n v="5.4"/>
    <s v="Instagram"/>
    <s v="Yes"/>
    <n v="6.7"/>
    <n v="5"/>
    <s v="Single"/>
    <n v="3"/>
    <n v="7"/>
    <s v="Instagram"/>
    <n v="1"/>
    <s v="6.7"/>
    <s v="OK"/>
    <b v="1"/>
    <s v="High"/>
    <s v="7"/>
    <n v="5.2"/>
    <b v="1"/>
  </r>
  <r>
    <n v="275"/>
    <n v="20"/>
    <s v="Female"/>
    <x v="0"/>
    <s v="South Korea"/>
    <n v="4.7"/>
    <s v="KakaoTalk"/>
    <s v="Yes"/>
    <n v="7.1"/>
    <n v="6"/>
    <s v="In Relationship"/>
    <n v="3"/>
    <n v="6"/>
    <s v="Kakaotalk"/>
    <n v="1"/>
    <s v="7.1"/>
    <s v="OK"/>
    <s v="medium"/>
    <s v="Medium"/>
    <s v="6"/>
    <n v="5.2"/>
    <b v="1"/>
  </r>
  <r>
    <n v="276"/>
    <n v="22"/>
    <s v="Male"/>
    <x v="1"/>
    <s v="Russia"/>
    <n v="4.2"/>
    <s v="VKontakte"/>
    <s v="No"/>
    <n v="7.8"/>
    <n v="7"/>
    <s v="Single"/>
    <n v="2"/>
    <n v="5"/>
    <s v="Vkontakte"/>
    <n v="2"/>
    <s v="7.8"/>
    <s v="OK"/>
    <s v="medium"/>
    <s v="Medium"/>
    <s v="5"/>
    <n v="5.2"/>
    <b v="1"/>
  </r>
  <r>
    <n v="277"/>
    <n v="19"/>
    <s v="Female"/>
    <x v="0"/>
    <s v="USA"/>
    <n v="6.6"/>
    <s v="TikTok"/>
    <s v="Yes"/>
    <n v="5.5"/>
    <n v="4"/>
    <s v="In Relationship"/>
    <n v="4"/>
    <n v="9"/>
    <s v="Tiktok"/>
    <n v="2"/>
    <s v="5.5"/>
    <s v="OK"/>
    <b v="1"/>
    <s v="High"/>
    <s v="9"/>
    <n v="5.2"/>
    <b v="1"/>
  </r>
  <r>
    <n v="278"/>
    <n v="21"/>
    <s v="Male"/>
    <x v="1"/>
    <s v="UK"/>
    <n v="5.0999999999999996"/>
    <s v="Instagram"/>
    <s v="Yes"/>
    <n v="6.5"/>
    <n v="6"/>
    <s v="Single"/>
    <n v="3"/>
    <n v="7"/>
    <s v="Instagram"/>
    <n v="1"/>
    <s v="6.5"/>
    <s v="OK"/>
    <b v="1"/>
    <s v="High"/>
    <s v="7"/>
    <n v="5.2"/>
    <b v="1"/>
  </r>
  <r>
    <n v="279"/>
    <n v="20"/>
    <s v="Female"/>
    <x v="0"/>
    <s v="Australia"/>
    <n v="4.4000000000000004"/>
    <s v="Facebook"/>
    <s v="No"/>
    <n v="7.4"/>
    <n v="7"/>
    <s v="In Relationship"/>
    <n v="2"/>
    <n v="5"/>
    <s v="Facebook"/>
    <n v="0"/>
    <s v="7.4"/>
    <s v="OK"/>
    <s v="medium"/>
    <s v="Medium"/>
    <s v="5"/>
    <n v="5.2"/>
    <b v="1"/>
  </r>
  <r>
    <n v="280"/>
    <n v="22"/>
    <s v="Male"/>
    <x v="1"/>
    <s v="Germany"/>
    <n v="3.6"/>
    <s v="Instagram"/>
    <s v="No"/>
    <n v="7.9"/>
    <n v="8"/>
    <s v="Single"/>
    <n v="1"/>
    <n v="4"/>
    <s v="Instagram"/>
    <n v="1"/>
    <s v="7.9"/>
    <s v="OK"/>
    <s v="medium"/>
    <s v="Low"/>
    <s v="4"/>
    <n v="5.2"/>
    <b v="1"/>
  </r>
  <r>
    <n v="281"/>
    <n v="19"/>
    <s v="Female"/>
    <x v="0"/>
    <s v="Japan"/>
    <n v="3.1"/>
    <s v="LINE"/>
    <s v="No"/>
    <n v="8.5"/>
    <n v="8"/>
    <s v="Single"/>
    <n v="1"/>
    <n v="3"/>
    <s v="Line"/>
    <n v="0"/>
    <s v="8.5"/>
    <s v="OK"/>
    <s v="medium"/>
    <s v="Low"/>
    <s v="3"/>
    <n v="5.2"/>
    <b v="1"/>
  </r>
  <r>
    <n v="282"/>
    <n v="21"/>
    <s v="Male"/>
    <x v="1"/>
    <s v="Italy"/>
    <n v="5.3"/>
    <s v="TikTok"/>
    <s v="Yes"/>
    <n v="6.8"/>
    <n v="5"/>
    <s v="In Relationship"/>
    <n v="3"/>
    <n v="8"/>
    <s v="Tiktok"/>
    <n v="2"/>
    <s v="6.8"/>
    <s v="OK"/>
    <b v="1"/>
    <s v="High"/>
    <s v="8"/>
    <n v="5.0999999999999996"/>
    <b v="1"/>
  </r>
  <r>
    <n v="283"/>
    <n v="20"/>
    <s v="Female"/>
    <x v="0"/>
    <s v="South Korea"/>
    <n v="4.5999999999999996"/>
    <s v="KakaoTalk"/>
    <s v="Yes"/>
    <n v="7.2"/>
    <n v="6"/>
    <s v="Single"/>
    <n v="3"/>
    <n v="6"/>
    <s v="Kakaotalk"/>
    <n v="1"/>
    <s v="7.2"/>
    <s v="OK"/>
    <s v="medium"/>
    <s v="Medium"/>
    <s v="6"/>
    <n v="5.0999999999999996"/>
    <b v="1"/>
  </r>
  <r>
    <n v="284"/>
    <n v="22"/>
    <s v="Male"/>
    <x v="1"/>
    <s v="Russia"/>
    <n v="4.0999999999999996"/>
    <s v="VKontakte"/>
    <s v="No"/>
    <n v="7.9"/>
    <n v="7"/>
    <s v="In Relationship"/>
    <n v="2"/>
    <n v="5"/>
    <s v="Vkontakte"/>
    <n v="2"/>
    <s v="7.9"/>
    <s v="OK"/>
    <s v="medium"/>
    <s v="Medium"/>
    <s v="5"/>
    <n v="5.0999999999999996"/>
    <b v="1"/>
  </r>
  <r>
    <n v="285"/>
    <n v="19"/>
    <s v="Female"/>
    <x v="0"/>
    <s v="USA"/>
    <n v="6.7"/>
    <s v="Instagram"/>
    <s v="Yes"/>
    <n v="5.4"/>
    <n v="4"/>
    <s v="Single"/>
    <n v="4"/>
    <n v="9"/>
    <s v="Instagram"/>
    <n v="1"/>
    <s v="5.4"/>
    <s v="OK"/>
    <b v="1"/>
    <s v="High"/>
    <s v="9"/>
    <n v="5.0999999999999996"/>
    <b v="1"/>
  </r>
  <r>
    <n v="286"/>
    <n v="21"/>
    <s v="Male"/>
    <x v="1"/>
    <s v="UK"/>
    <n v="5"/>
    <s v="Facebook"/>
    <s v="Yes"/>
    <n v="6.6"/>
    <n v="6"/>
    <s v="In Relationship"/>
    <n v="3"/>
    <n v="7"/>
    <s v="Facebook"/>
    <n v="0"/>
    <s v="6.6"/>
    <s v="OK"/>
    <b v="1"/>
    <s v="High"/>
    <s v="7"/>
    <n v="5.0999999999999996"/>
    <b v="1"/>
  </r>
  <r>
    <n v="287"/>
    <n v="20"/>
    <s v="Female"/>
    <x v="0"/>
    <s v="Australia"/>
    <n v="4.3"/>
    <s v="Instagram"/>
    <s v="No"/>
    <n v="7.5"/>
    <n v="7"/>
    <s v="Single"/>
    <n v="2"/>
    <n v="5"/>
    <s v="Instagram"/>
    <n v="1"/>
    <s v="7.5"/>
    <s v="OK"/>
    <s v="medium"/>
    <s v="Medium"/>
    <s v="5"/>
    <n v="5.0999999999999996"/>
    <b v="1"/>
  </r>
  <r>
    <n v="288"/>
    <n v="22"/>
    <s v="Male"/>
    <x v="1"/>
    <s v="Germany"/>
    <n v="3.5"/>
    <s v="Facebook"/>
    <s v="No"/>
    <n v="8"/>
    <n v="8"/>
    <s v="In Relationship"/>
    <n v="1"/>
    <n v="4"/>
    <s v="Facebook"/>
    <n v="0"/>
    <s v="8"/>
    <s v="OK"/>
    <s v="medium"/>
    <s v="Low"/>
    <s v="4"/>
    <n v="5.0999999999999996"/>
    <b v="1"/>
  </r>
  <r>
    <n v="289"/>
    <n v="19"/>
    <s v="Female"/>
    <x v="0"/>
    <s v="Japan"/>
    <n v="3"/>
    <s v="LINE"/>
    <s v="No"/>
    <n v="8.6"/>
    <n v="8"/>
    <s v="Single"/>
    <n v="1"/>
    <n v="3"/>
    <s v="Line"/>
    <n v="0"/>
    <s v="8.6"/>
    <s v="OK"/>
    <s v="medium"/>
    <s v="Low"/>
    <s v="3"/>
    <n v="5.0999999999999996"/>
    <b v="1"/>
  </r>
  <r>
    <n v="290"/>
    <n v="21"/>
    <s v="Male"/>
    <x v="1"/>
    <s v="Italy"/>
    <n v="5.2"/>
    <s v="Instagram"/>
    <s v="Yes"/>
    <n v="6.9"/>
    <n v="5"/>
    <s v="Single"/>
    <n v="3"/>
    <n v="7"/>
    <s v="Instagram"/>
    <n v="1"/>
    <s v="6.9"/>
    <s v="OK"/>
    <b v="1"/>
    <s v="High"/>
    <s v="7"/>
    <n v="5.0999999999999996"/>
    <b v="1"/>
  </r>
  <r>
    <n v="291"/>
    <n v="20"/>
    <s v="Female"/>
    <x v="0"/>
    <s v="South Korea"/>
    <n v="4.5"/>
    <s v="KakaoTalk"/>
    <s v="Yes"/>
    <n v="7.3"/>
    <n v="6"/>
    <s v="In Relationship"/>
    <n v="3"/>
    <n v="6"/>
    <s v="Kakaotalk"/>
    <n v="1"/>
    <s v="7.3"/>
    <s v="OK"/>
    <s v="medium"/>
    <s v="Medium"/>
    <s v="6"/>
    <n v="5.0999999999999996"/>
    <b v="1"/>
  </r>
  <r>
    <n v="292"/>
    <n v="22"/>
    <s v="Male"/>
    <x v="1"/>
    <s v="Russia"/>
    <n v="4"/>
    <s v="VKontakte"/>
    <s v="No"/>
    <n v="8"/>
    <n v="7"/>
    <s v="Single"/>
    <n v="2"/>
    <n v="5"/>
    <s v="Vkontakte"/>
    <n v="2"/>
    <s v="8"/>
    <s v="OK"/>
    <s v="medium"/>
    <s v="Medium"/>
    <s v="5"/>
    <n v="5.0999999999999996"/>
    <b v="1"/>
  </r>
  <r>
    <n v="293"/>
    <n v="19"/>
    <s v="Female"/>
    <x v="0"/>
    <s v="USA"/>
    <n v="6.8"/>
    <s v="TikTok"/>
    <s v="Yes"/>
    <n v="5.3"/>
    <n v="4"/>
    <s v="In Relationship"/>
    <n v="4"/>
    <n v="9"/>
    <s v="Tiktok"/>
    <n v="2"/>
    <s v="5.3"/>
    <s v="OK"/>
    <b v="1"/>
    <s v="High"/>
    <s v="9"/>
    <n v="5.0999999999999996"/>
    <b v="1"/>
  </r>
  <r>
    <n v="294"/>
    <n v="21"/>
    <s v="Male"/>
    <x v="1"/>
    <s v="UK"/>
    <n v="4.9000000000000004"/>
    <s v="Instagram"/>
    <s v="Yes"/>
    <n v="6.7"/>
    <n v="6"/>
    <s v="Single"/>
    <n v="3"/>
    <n v="7"/>
    <s v="Instagram"/>
    <n v="1"/>
    <s v="6.7"/>
    <s v="OK"/>
    <b v="1"/>
    <s v="High"/>
    <s v="7"/>
    <n v="5.0999999999999996"/>
    <b v="1"/>
  </r>
  <r>
    <n v="295"/>
    <n v="20"/>
    <s v="Female"/>
    <x v="0"/>
    <s v="Australia"/>
    <n v="4.2"/>
    <s v="Facebook"/>
    <s v="No"/>
    <n v="7.6"/>
    <n v="7"/>
    <s v="In Relationship"/>
    <n v="2"/>
    <n v="5"/>
    <s v="Facebook"/>
    <n v="0"/>
    <s v="7.6"/>
    <s v="OK"/>
    <s v="medium"/>
    <s v="Medium"/>
    <s v="5"/>
    <n v="5"/>
    <b v="1"/>
  </r>
  <r>
    <n v="296"/>
    <n v="22"/>
    <s v="Male"/>
    <x v="1"/>
    <s v="Germany"/>
    <n v="3.4"/>
    <s v="Instagram"/>
    <s v="No"/>
    <n v="8.1"/>
    <n v="8"/>
    <s v="Single"/>
    <n v="1"/>
    <n v="4"/>
    <s v="Instagram"/>
    <n v="1"/>
    <s v="8.1"/>
    <s v="OK"/>
    <s v="medium"/>
    <s v="Low"/>
    <s v="4"/>
    <n v="5"/>
    <b v="1"/>
  </r>
  <r>
    <n v="297"/>
    <n v="19"/>
    <s v="Female"/>
    <x v="0"/>
    <s v="Japan"/>
    <n v="2.9"/>
    <s v="LINE"/>
    <s v="No"/>
    <n v="8.6999999999999993"/>
    <n v="8"/>
    <s v="Single"/>
    <n v="1"/>
    <n v="3"/>
    <s v="Line"/>
    <n v="0"/>
    <s v="8.7"/>
    <s v="OK"/>
    <s v="medium"/>
    <s v="Low"/>
    <s v="3"/>
    <n v="5"/>
    <b v="1"/>
  </r>
  <r>
    <n v="298"/>
    <n v="21"/>
    <s v="Male"/>
    <x v="1"/>
    <s v="Italy"/>
    <n v="5.0999999999999996"/>
    <s v="TikTok"/>
    <s v="Yes"/>
    <n v="7"/>
    <n v="5"/>
    <s v="In Relationship"/>
    <n v="3"/>
    <n v="8"/>
    <s v="Tiktok"/>
    <n v="2"/>
    <s v="7"/>
    <s v="OK"/>
    <b v="1"/>
    <s v="High"/>
    <s v="8"/>
    <n v="5"/>
    <b v="1"/>
  </r>
  <r>
    <n v="299"/>
    <n v="20"/>
    <s v="Female"/>
    <x v="0"/>
    <s v="South Korea"/>
    <n v="4.4000000000000004"/>
    <s v="KakaoTalk"/>
    <s v="Yes"/>
    <n v="7.4"/>
    <n v="6"/>
    <s v="Single"/>
    <n v="3"/>
    <n v="6"/>
    <s v="Kakaotalk"/>
    <n v="1"/>
    <s v="7.4"/>
    <s v="OK"/>
    <s v="medium"/>
    <s v="Medium"/>
    <s v="6"/>
    <n v="5"/>
    <b v="1"/>
  </r>
  <r>
    <n v="300"/>
    <n v="22"/>
    <s v="Male"/>
    <x v="1"/>
    <s v="Russia"/>
    <n v="3.9"/>
    <s v="VKontakte"/>
    <s v="No"/>
    <n v="8.1"/>
    <n v="7"/>
    <s v="In Relationship"/>
    <n v="2"/>
    <n v="5"/>
    <s v="Vkontakte"/>
    <n v="2"/>
    <s v="8.1"/>
    <s v="OK"/>
    <s v="medium"/>
    <s v="Medium"/>
    <s v="5"/>
    <n v="5"/>
    <b v="1"/>
  </r>
  <r>
    <n v="301"/>
    <n v="19"/>
    <s v="Female"/>
    <x v="0"/>
    <s v="USA"/>
    <n v="6.9"/>
    <s v="Instagram"/>
    <s v="Yes"/>
    <n v="5.2"/>
    <n v="4"/>
    <s v="Single"/>
    <n v="4"/>
    <n v="9"/>
    <s v="Instagram"/>
    <n v="1"/>
    <s v="5.2"/>
    <s v="OK"/>
    <b v="1"/>
    <s v="High"/>
    <s v="9"/>
    <n v="5"/>
    <b v="1"/>
  </r>
  <r>
    <n v="302"/>
    <n v="21"/>
    <s v="Male"/>
    <x v="1"/>
    <s v="UK"/>
    <n v="4.8"/>
    <s v="Facebook"/>
    <s v="Yes"/>
    <n v="6.8"/>
    <n v="6"/>
    <s v="In Relationship"/>
    <n v="3"/>
    <n v="7"/>
    <s v="Facebook"/>
    <n v="0"/>
    <s v="6.8"/>
    <s v="OK"/>
    <b v="1"/>
    <s v="High"/>
    <s v="7"/>
    <n v="5"/>
    <b v="1"/>
  </r>
  <r>
    <n v="303"/>
    <n v="20"/>
    <s v="Female"/>
    <x v="0"/>
    <s v="Australia"/>
    <n v="4.0999999999999996"/>
    <s v="Instagram"/>
    <s v="No"/>
    <n v="7.7"/>
    <n v="7"/>
    <s v="Single"/>
    <n v="2"/>
    <n v="5"/>
    <s v="Instagram"/>
    <n v="1"/>
    <s v="7.7"/>
    <s v="OK"/>
    <s v="medium"/>
    <s v="Medium"/>
    <s v="5"/>
    <n v="5"/>
    <b v="1"/>
  </r>
  <r>
    <n v="304"/>
    <n v="22"/>
    <s v="Male"/>
    <x v="1"/>
    <s v="Germany"/>
    <n v="3.3"/>
    <s v="Facebook"/>
    <s v="No"/>
    <n v="8.1999999999999993"/>
    <n v="8"/>
    <s v="In Relationship"/>
    <n v="1"/>
    <n v="4"/>
    <s v="Facebook"/>
    <n v="0"/>
    <s v="8.2"/>
    <s v="OK"/>
    <s v="medium"/>
    <s v="Low"/>
    <s v="4"/>
    <n v="5"/>
    <b v="1"/>
  </r>
  <r>
    <n v="305"/>
    <n v="19"/>
    <s v="Female"/>
    <x v="0"/>
    <s v="Japan"/>
    <n v="2.8"/>
    <s v="LINE"/>
    <s v="No"/>
    <n v="8.8000000000000007"/>
    <n v="8"/>
    <s v="Single"/>
    <n v="1"/>
    <n v="3"/>
    <s v="Line"/>
    <n v="0"/>
    <s v="8.8"/>
    <s v="OK"/>
    <s v="medium"/>
    <s v="Low"/>
    <s v="3"/>
    <n v="5"/>
    <b v="1"/>
  </r>
  <r>
    <n v="306"/>
    <n v="21"/>
    <s v="Male"/>
    <x v="1"/>
    <s v="Italy"/>
    <n v="5"/>
    <s v="Instagram"/>
    <s v="Yes"/>
    <n v="7.1"/>
    <n v="5"/>
    <s v="Single"/>
    <n v="3"/>
    <n v="7"/>
    <s v="Instagram"/>
    <n v="1"/>
    <s v="7.1"/>
    <s v="OK"/>
    <b v="1"/>
    <s v="High"/>
    <s v="7"/>
    <n v="5"/>
    <b v="1"/>
  </r>
  <r>
    <n v="307"/>
    <n v="20"/>
    <s v="Female"/>
    <x v="0"/>
    <s v="South Korea"/>
    <n v="4.3"/>
    <s v="KakaoTalk"/>
    <s v="Yes"/>
    <n v="7.5"/>
    <n v="6"/>
    <s v="In Relationship"/>
    <n v="3"/>
    <n v="6"/>
    <s v="Kakaotalk"/>
    <n v="1"/>
    <s v="7.5"/>
    <s v="OK"/>
    <s v="medium"/>
    <s v="Medium"/>
    <s v="6"/>
    <n v="5"/>
    <b v="1"/>
  </r>
  <r>
    <n v="308"/>
    <n v="22"/>
    <s v="Male"/>
    <x v="1"/>
    <s v="Russia"/>
    <n v="3.8"/>
    <s v="VKontakte"/>
    <s v="No"/>
    <n v="8.1999999999999993"/>
    <n v="7"/>
    <s v="Single"/>
    <n v="2"/>
    <n v="5"/>
    <s v="Vkontakte"/>
    <n v="2"/>
    <s v="8.2"/>
    <s v="OK"/>
    <s v="medium"/>
    <s v="Medium"/>
    <s v="5"/>
    <n v="5"/>
    <b v="1"/>
  </r>
  <r>
    <n v="309"/>
    <n v="19"/>
    <s v="Female"/>
    <x v="0"/>
    <s v="USA"/>
    <n v="7"/>
    <s v="TikTok"/>
    <s v="Yes"/>
    <n v="5.0999999999999996"/>
    <n v="4"/>
    <s v="In Relationship"/>
    <n v="4"/>
    <n v="9"/>
    <s v="Tiktok"/>
    <n v="2"/>
    <s v="5.1"/>
    <s v="OK"/>
    <b v="1"/>
    <s v="High"/>
    <s v="9"/>
    <n v="4.9000000000000004"/>
    <b v="1"/>
  </r>
  <r>
    <n v="310"/>
    <n v="21"/>
    <s v="Male"/>
    <x v="1"/>
    <s v="UK"/>
    <n v="4.7"/>
    <s v="Instagram"/>
    <s v="Yes"/>
    <n v="6.9"/>
    <n v="6"/>
    <s v="Single"/>
    <n v="3"/>
    <n v="7"/>
    <s v="Instagram"/>
    <n v="1"/>
    <s v="6.9"/>
    <s v="OK"/>
    <b v="1"/>
    <s v="High"/>
    <s v="7"/>
    <n v="4.9000000000000004"/>
    <b v="1"/>
  </r>
  <r>
    <n v="311"/>
    <n v="20"/>
    <s v="Female"/>
    <x v="0"/>
    <s v="Australia"/>
    <n v="4"/>
    <s v="Facebook"/>
    <s v="No"/>
    <n v="7.8"/>
    <n v="7"/>
    <s v="In Relationship"/>
    <n v="2"/>
    <n v="5"/>
    <s v="Facebook"/>
    <n v="0"/>
    <s v="7.8"/>
    <s v="OK"/>
    <s v="medium"/>
    <s v="Medium"/>
    <s v="5"/>
    <n v="4.9000000000000004"/>
    <b v="1"/>
  </r>
  <r>
    <n v="312"/>
    <n v="22"/>
    <s v="Male"/>
    <x v="1"/>
    <s v="Germany"/>
    <n v="3.2"/>
    <s v="Instagram"/>
    <s v="No"/>
    <n v="8.3000000000000007"/>
    <n v="8"/>
    <s v="Single"/>
    <n v="1"/>
    <n v="4"/>
    <s v="Instagram"/>
    <n v="1"/>
    <s v="8.3"/>
    <s v="OK"/>
    <s v="medium"/>
    <s v="Low"/>
    <s v="4"/>
    <n v="4.9000000000000004"/>
    <b v="1"/>
  </r>
  <r>
    <n v="313"/>
    <n v="19"/>
    <s v="Female"/>
    <x v="0"/>
    <s v="Japan"/>
    <n v="2.7"/>
    <s v="LINE"/>
    <s v="No"/>
    <n v="8.9"/>
    <n v="8"/>
    <s v="Single"/>
    <n v="1"/>
    <n v="3"/>
    <s v="Line"/>
    <n v="0"/>
    <s v="8.9"/>
    <s v="OK"/>
    <s v="medium"/>
    <s v="Low"/>
    <s v="3"/>
    <n v="4.9000000000000004"/>
    <b v="1"/>
  </r>
  <r>
    <n v="314"/>
    <n v="21"/>
    <s v="Male"/>
    <x v="1"/>
    <s v="Italy"/>
    <n v="4.9000000000000004"/>
    <s v="TikTok"/>
    <s v="Yes"/>
    <n v="7.2"/>
    <n v="5"/>
    <s v="In Relationship"/>
    <n v="3"/>
    <n v="8"/>
    <s v="Tiktok"/>
    <n v="2"/>
    <s v="7.2"/>
    <s v="OK"/>
    <b v="1"/>
    <s v="High"/>
    <s v="8"/>
    <n v="4.9000000000000004"/>
    <b v="1"/>
  </r>
  <r>
    <n v="315"/>
    <n v="20"/>
    <s v="Female"/>
    <x v="0"/>
    <s v="South Korea"/>
    <n v="4.2"/>
    <s v="KakaoTalk"/>
    <s v="Yes"/>
    <n v="7.6"/>
    <n v="6"/>
    <s v="Single"/>
    <n v="3"/>
    <n v="6"/>
    <s v="Kakaotalk"/>
    <n v="1"/>
    <s v="7.6"/>
    <s v="OK"/>
    <s v="medium"/>
    <s v="Medium"/>
    <s v="6"/>
    <n v="4.9000000000000004"/>
    <b v="1"/>
  </r>
  <r>
    <n v="316"/>
    <n v="22"/>
    <s v="Male"/>
    <x v="1"/>
    <s v="Russia"/>
    <n v="3.7"/>
    <s v="VKontakte"/>
    <s v="No"/>
    <n v="8.3000000000000007"/>
    <n v="7"/>
    <s v="In Relationship"/>
    <n v="2"/>
    <n v="5"/>
    <s v="Vkontakte"/>
    <n v="2"/>
    <s v="8.3"/>
    <s v="OK"/>
    <s v="medium"/>
    <s v="Medium"/>
    <s v="5"/>
    <n v="4.9000000000000004"/>
    <b v="1"/>
  </r>
  <r>
    <n v="317"/>
    <n v="19"/>
    <s v="Female"/>
    <x v="0"/>
    <s v="USA"/>
    <n v="7.1"/>
    <s v="Instagram"/>
    <s v="Yes"/>
    <n v="5"/>
    <n v="4"/>
    <s v="Single"/>
    <n v="4"/>
    <n v="9"/>
    <s v="Instagram"/>
    <n v="1"/>
    <s v="5"/>
    <s v="OK"/>
    <b v="1"/>
    <s v="High"/>
    <s v="9"/>
    <n v="4.9000000000000004"/>
    <b v="1"/>
  </r>
  <r>
    <n v="318"/>
    <n v="21"/>
    <s v="Male"/>
    <x v="1"/>
    <s v="UK"/>
    <n v="4.5999999999999996"/>
    <s v="Facebook"/>
    <s v="Yes"/>
    <n v="7"/>
    <n v="6"/>
    <s v="In Relationship"/>
    <n v="3"/>
    <n v="7"/>
    <s v="Facebook"/>
    <n v="0"/>
    <s v="7"/>
    <s v="OK"/>
    <b v="1"/>
    <s v="High"/>
    <s v="7"/>
    <n v="4.9000000000000004"/>
    <b v="1"/>
  </r>
  <r>
    <n v="319"/>
    <n v="20"/>
    <s v="Female"/>
    <x v="0"/>
    <s v="Australia"/>
    <n v="3.9"/>
    <s v="Instagram"/>
    <s v="No"/>
    <n v="7.9"/>
    <n v="7"/>
    <s v="Single"/>
    <n v="2"/>
    <n v="5"/>
    <s v="Instagram"/>
    <n v="1"/>
    <s v="7.9"/>
    <s v="OK"/>
    <s v="medium"/>
    <s v="Medium"/>
    <s v="5"/>
    <n v="4.9000000000000004"/>
    <b v="1"/>
  </r>
  <r>
    <n v="320"/>
    <n v="22"/>
    <s v="Male"/>
    <x v="1"/>
    <s v="Germany"/>
    <n v="3.1"/>
    <s v="Facebook"/>
    <s v="No"/>
    <n v="8.4"/>
    <n v="8"/>
    <s v="In Relationship"/>
    <n v="1"/>
    <n v="4"/>
    <s v="Facebook"/>
    <n v="0"/>
    <s v="8.4"/>
    <s v="OK"/>
    <s v="medium"/>
    <s v="Low"/>
    <s v="4"/>
    <n v="4.9000000000000004"/>
    <b v="1"/>
  </r>
  <r>
    <n v="321"/>
    <n v="19"/>
    <s v="Female"/>
    <x v="0"/>
    <s v="Spain"/>
    <n v="5.2"/>
    <s v="Instagram"/>
    <s v="Yes"/>
    <n v="6.8"/>
    <n v="6"/>
    <s v="Single"/>
    <n v="3"/>
    <n v="7"/>
    <s v="Instagram"/>
    <n v="1"/>
    <s v="6.8"/>
    <s v="OK"/>
    <b v="1"/>
    <s v="High"/>
    <s v="7"/>
    <n v="4.9000000000000004"/>
    <b v="1"/>
  </r>
  <r>
    <n v="322"/>
    <n v="21"/>
    <s v="Male"/>
    <x v="1"/>
    <s v="Denmark"/>
    <n v="4.0999999999999996"/>
    <s v="Facebook"/>
    <s v="No"/>
    <n v="7.8"/>
    <n v="8"/>
    <s v="In Relationship"/>
    <n v="2"/>
    <n v="4"/>
    <s v="Facebook"/>
    <n v="0"/>
    <s v="7.8"/>
    <s v="OK"/>
    <s v="medium"/>
    <s v="Low"/>
    <s v="4"/>
    <n v="4.9000000000000004"/>
    <b v="1"/>
  </r>
  <r>
    <n v="323"/>
    <n v="20"/>
    <s v="Female"/>
    <x v="0"/>
    <s v="Ireland"/>
    <n v="5"/>
    <s v="Instagram"/>
    <s v="Yes"/>
    <n v="7"/>
    <n v="7"/>
    <s v="Single"/>
    <n v="3"/>
    <n v="6"/>
    <s v="Instagram"/>
    <n v="1"/>
    <s v="7"/>
    <s v="OK"/>
    <s v="medium"/>
    <s v="Medium"/>
    <s v="6"/>
    <n v="4.9000000000000004"/>
    <b v="1"/>
  </r>
  <r>
    <n v="324"/>
    <n v="22"/>
    <s v="Male"/>
    <x v="1"/>
    <s v="India"/>
    <n v="5.8"/>
    <s v="WhatsApp"/>
    <s v="Yes"/>
    <n v="6.5"/>
    <n v="5"/>
    <s v="In Relationship"/>
    <n v="4"/>
    <n v="8"/>
    <s v="Whatsapp"/>
    <n v="1"/>
    <s v="6.5"/>
    <s v="OK"/>
    <b v="1"/>
    <s v="High"/>
    <s v="8"/>
    <n v="4.9000000000000004"/>
    <b v="1"/>
  </r>
  <r>
    <n v="325"/>
    <n v="19"/>
    <s v="Female"/>
    <x v="0"/>
    <s v="Switzerland"/>
    <n v="4"/>
    <s v="Instagram"/>
    <s v="No"/>
    <n v="7.9"/>
    <n v="8"/>
    <s v="Single"/>
    <n v="2"/>
    <n v="4"/>
    <s v="Instagram"/>
    <n v="1"/>
    <s v="7.9"/>
    <s v="OK"/>
    <s v="medium"/>
    <s v="Low"/>
    <s v="4"/>
    <n v="4.9000000000000004"/>
    <b v="1"/>
  </r>
  <r>
    <n v="326"/>
    <n v="21"/>
    <s v="Male"/>
    <x v="1"/>
    <s v="Turkey"/>
    <n v="5.5"/>
    <s v="Instagram"/>
    <s v="Yes"/>
    <n v="6.7"/>
    <n v="6"/>
    <s v="Single"/>
    <n v="3"/>
    <n v="7"/>
    <s v="Instagram"/>
    <n v="1"/>
    <s v="6.7"/>
    <s v="OK"/>
    <b v="1"/>
    <s v="High"/>
    <s v="7"/>
    <n v="4.9000000000000004"/>
    <b v="1"/>
  </r>
  <r>
    <n v="327"/>
    <n v="20"/>
    <s v="Female"/>
    <x v="0"/>
    <s v="USA"/>
    <n v="6.8"/>
    <s v="TikTok"/>
    <s v="Yes"/>
    <n v="5.5"/>
    <n v="5"/>
    <s v="In Relationship"/>
    <n v="4"/>
    <n v="9"/>
    <s v="Tiktok"/>
    <n v="2"/>
    <s v="5.5"/>
    <s v="OK"/>
    <b v="1"/>
    <s v="High"/>
    <s v="9"/>
    <n v="4.9000000000000004"/>
    <b v="1"/>
  </r>
  <r>
    <n v="328"/>
    <n v="22"/>
    <s v="Male"/>
    <x v="1"/>
    <s v="Mexico"/>
    <n v="5.6"/>
    <s v="WhatsApp"/>
    <s v="Yes"/>
    <n v="6.6"/>
    <n v="6"/>
    <s v="Single"/>
    <n v="3"/>
    <n v="7"/>
    <s v="Whatsapp"/>
    <n v="1"/>
    <s v="6.6"/>
    <s v="OK"/>
    <b v="1"/>
    <s v="High"/>
    <s v="7"/>
    <n v="4.9000000000000004"/>
    <b v="1"/>
  </r>
  <r>
    <n v="329"/>
    <n v="19"/>
    <s v="Female"/>
    <x v="0"/>
    <s v="France"/>
    <n v="4.5"/>
    <s v="Instagram"/>
    <s v="No"/>
    <n v="7.5"/>
    <n v="7"/>
    <s v="In Relationship"/>
    <n v="2"/>
    <n v="5"/>
    <s v="Instagram"/>
    <n v="1"/>
    <s v="7.5"/>
    <s v="OK"/>
    <s v="medium"/>
    <s v="Medium"/>
    <s v="5"/>
    <n v="4.8"/>
    <b v="1"/>
  </r>
  <r>
    <n v="330"/>
    <n v="21"/>
    <s v="Male"/>
    <x v="1"/>
    <s v="Canada"/>
    <n v="5.3"/>
    <s v="Instagram"/>
    <s v="Yes"/>
    <n v="6.9"/>
    <n v="6"/>
    <s v="Single"/>
    <n v="3"/>
    <n v="7"/>
    <s v="Instagram"/>
    <n v="1"/>
    <s v="6.9"/>
    <s v="OK"/>
    <b v="1"/>
    <s v="High"/>
    <s v="7"/>
    <n v="4.8"/>
    <b v="1"/>
  </r>
  <r>
    <n v="331"/>
    <n v="20"/>
    <s v="Female"/>
    <x v="0"/>
    <s v="Spain"/>
    <n v="5.0999999999999996"/>
    <s v="TikTok"/>
    <s v="Yes"/>
    <n v="6.7"/>
    <n v="6"/>
    <s v="Single"/>
    <n v="3"/>
    <n v="7"/>
    <s v="Tiktok"/>
    <n v="2"/>
    <s v="6.7"/>
    <s v="OK"/>
    <b v="1"/>
    <s v="High"/>
    <s v="7"/>
    <n v="4.8"/>
    <b v="1"/>
  </r>
  <r>
    <n v="332"/>
    <n v="22"/>
    <s v="Male"/>
    <x v="1"/>
    <s v="Denmark"/>
    <n v="3.9"/>
    <s v="Facebook"/>
    <s v="No"/>
    <n v="7.9"/>
    <n v="8"/>
    <s v="In Relationship"/>
    <n v="2"/>
    <n v="4"/>
    <s v="Facebook"/>
    <n v="0"/>
    <s v="7.9"/>
    <s v="OK"/>
    <s v="medium"/>
    <s v="Low"/>
    <s v="4"/>
    <n v="4.8"/>
    <b v="1"/>
  </r>
  <r>
    <n v="333"/>
    <n v="19"/>
    <s v="Female"/>
    <x v="0"/>
    <s v="Ireland"/>
    <n v="4.8"/>
    <s v="Instagram"/>
    <s v="Yes"/>
    <n v="7.1"/>
    <n v="7"/>
    <s v="Single"/>
    <n v="3"/>
    <n v="6"/>
    <s v="Instagram"/>
    <n v="1"/>
    <s v="7.1"/>
    <s v="OK"/>
    <s v="medium"/>
    <s v="Medium"/>
    <s v="6"/>
    <n v="4.8"/>
    <b v="1"/>
  </r>
  <r>
    <n v="334"/>
    <n v="21"/>
    <s v="Male"/>
    <x v="1"/>
    <s v="India"/>
    <n v="5.9"/>
    <s v="WhatsApp"/>
    <s v="Yes"/>
    <n v="6.4"/>
    <n v="5"/>
    <s v="In Relationship"/>
    <n v="4"/>
    <n v="8"/>
    <s v="Whatsapp"/>
    <n v="1"/>
    <s v="6.4"/>
    <s v="OK"/>
    <b v="1"/>
    <s v="High"/>
    <s v="8"/>
    <n v="4.8"/>
    <b v="1"/>
  </r>
  <r>
    <n v="335"/>
    <n v="20"/>
    <s v="Female"/>
    <x v="0"/>
    <s v="Switzerland"/>
    <n v="3.8"/>
    <s v="Instagram"/>
    <s v="No"/>
    <n v="8"/>
    <n v="8"/>
    <s v="Single"/>
    <n v="2"/>
    <n v="4"/>
    <s v="Instagram"/>
    <n v="1"/>
    <s v="8"/>
    <s v="OK"/>
    <s v="medium"/>
    <s v="Low"/>
    <s v="4"/>
    <n v="4.8"/>
    <b v="1"/>
  </r>
  <r>
    <n v="336"/>
    <n v="22"/>
    <s v="Male"/>
    <x v="1"/>
    <s v="Turkey"/>
    <n v="5.4"/>
    <s v="TikTok"/>
    <s v="Yes"/>
    <n v="6.8"/>
    <n v="6"/>
    <s v="Single"/>
    <n v="3"/>
    <n v="7"/>
    <s v="Tiktok"/>
    <n v="2"/>
    <s v="6.8"/>
    <s v="OK"/>
    <b v="1"/>
    <s v="High"/>
    <s v="7"/>
    <n v="4.8"/>
    <b v="1"/>
  </r>
  <r>
    <n v="337"/>
    <n v="19"/>
    <s v="Female"/>
    <x v="0"/>
    <s v="USA"/>
    <n v="6.9"/>
    <s v="Instagram"/>
    <s v="Yes"/>
    <n v="5.4"/>
    <n v="5"/>
    <s v="In Relationship"/>
    <n v="4"/>
    <n v="9"/>
    <s v="Instagram"/>
    <n v="1"/>
    <s v="5.4"/>
    <s v="OK"/>
    <b v="1"/>
    <s v="High"/>
    <s v="9"/>
    <n v="4.8"/>
    <b v="1"/>
  </r>
  <r>
    <n v="338"/>
    <n v="21"/>
    <s v="Male"/>
    <x v="1"/>
    <s v="Mexico"/>
    <n v="5.7"/>
    <s v="WhatsApp"/>
    <s v="Yes"/>
    <n v="6.5"/>
    <n v="6"/>
    <s v="Single"/>
    <n v="3"/>
    <n v="7"/>
    <s v="Whatsapp"/>
    <n v="1"/>
    <s v="6.5"/>
    <s v="OK"/>
    <b v="1"/>
    <s v="High"/>
    <s v="7"/>
    <n v="4.8"/>
    <b v="1"/>
  </r>
  <r>
    <n v="339"/>
    <n v="20"/>
    <s v="Female"/>
    <x v="0"/>
    <s v="France"/>
    <n v="4.4000000000000004"/>
    <s v="Instagram"/>
    <s v="No"/>
    <n v="7.6"/>
    <n v="7"/>
    <s v="In Relationship"/>
    <n v="2"/>
    <n v="5"/>
    <s v="Instagram"/>
    <n v="1"/>
    <s v="7.6"/>
    <s v="OK"/>
    <s v="medium"/>
    <s v="Medium"/>
    <s v="5"/>
    <n v="4.8"/>
    <b v="1"/>
  </r>
  <r>
    <n v="340"/>
    <n v="22"/>
    <s v="Male"/>
    <x v="1"/>
    <s v="Canada"/>
    <n v="5.2"/>
    <s v="TikTok"/>
    <s v="Yes"/>
    <n v="7"/>
    <n v="6"/>
    <s v="Single"/>
    <n v="3"/>
    <n v="7"/>
    <s v="Tiktok"/>
    <n v="2"/>
    <s v="7"/>
    <s v="OK"/>
    <b v="1"/>
    <s v="High"/>
    <s v="7"/>
    <n v="4.8"/>
    <b v="1"/>
  </r>
  <r>
    <n v="341"/>
    <n v="19"/>
    <s v="Female"/>
    <x v="0"/>
    <s v="Spain"/>
    <n v="5"/>
    <s v="Instagram"/>
    <s v="Yes"/>
    <n v="6.9"/>
    <n v="6"/>
    <s v="Single"/>
    <n v="3"/>
    <n v="7"/>
    <s v="Instagram"/>
    <n v="1"/>
    <s v="6.9"/>
    <s v="OK"/>
    <b v="1"/>
    <s v="High"/>
    <s v="7"/>
    <n v="4.8"/>
    <b v="1"/>
  </r>
  <r>
    <n v="342"/>
    <n v="21"/>
    <s v="Male"/>
    <x v="1"/>
    <s v="Denmark"/>
    <n v="3.8"/>
    <s v="Facebook"/>
    <s v="No"/>
    <n v="8"/>
    <n v="8"/>
    <s v="In Relationship"/>
    <n v="2"/>
    <n v="4"/>
    <s v="Facebook"/>
    <n v="0"/>
    <s v="8"/>
    <s v="OK"/>
    <s v="medium"/>
    <s v="Low"/>
    <s v="4"/>
    <n v="4.8"/>
    <b v="1"/>
  </r>
  <r>
    <n v="343"/>
    <n v="20"/>
    <s v="Female"/>
    <x v="0"/>
    <s v="Ireland"/>
    <n v="4.7"/>
    <s v="TikTok"/>
    <s v="Yes"/>
    <n v="7.2"/>
    <n v="7"/>
    <s v="Single"/>
    <n v="3"/>
    <n v="6"/>
    <s v="Tiktok"/>
    <n v="2"/>
    <s v="7.2"/>
    <s v="OK"/>
    <s v="medium"/>
    <s v="Medium"/>
    <s v="6"/>
    <n v="4.8"/>
    <b v="1"/>
  </r>
  <r>
    <n v="344"/>
    <n v="22"/>
    <s v="Male"/>
    <x v="1"/>
    <s v="India"/>
    <n v="6"/>
    <s v="WhatsApp"/>
    <s v="Yes"/>
    <n v="6.3"/>
    <n v="5"/>
    <s v="In Relationship"/>
    <n v="4"/>
    <n v="8"/>
    <s v="Whatsapp"/>
    <n v="1"/>
    <s v="6.3"/>
    <s v="OK"/>
    <b v="1"/>
    <s v="High"/>
    <s v="8"/>
    <n v="4.8"/>
    <b v="1"/>
  </r>
  <r>
    <n v="345"/>
    <n v="19"/>
    <s v="Female"/>
    <x v="0"/>
    <s v="Switzerland"/>
    <n v="3.7"/>
    <s v="Instagram"/>
    <s v="No"/>
    <n v="8.1"/>
    <n v="8"/>
    <s v="Single"/>
    <n v="2"/>
    <n v="4"/>
    <s v="Instagram"/>
    <n v="1"/>
    <s v="8.1"/>
    <s v="OK"/>
    <s v="medium"/>
    <s v="Low"/>
    <s v="4"/>
    <n v="4.8"/>
    <b v="1"/>
  </r>
  <r>
    <n v="346"/>
    <n v="21"/>
    <s v="Male"/>
    <x v="1"/>
    <s v="Turkey"/>
    <n v="5.3"/>
    <s v="Instagram"/>
    <s v="Yes"/>
    <n v="6.9"/>
    <n v="6"/>
    <s v="Single"/>
    <n v="3"/>
    <n v="7"/>
    <s v="Instagram"/>
    <n v="1"/>
    <s v="6.9"/>
    <s v="OK"/>
    <b v="1"/>
    <s v="High"/>
    <s v="7"/>
    <n v="4.8"/>
    <b v="1"/>
  </r>
  <r>
    <n v="347"/>
    <n v="20"/>
    <s v="Female"/>
    <x v="0"/>
    <s v="USA"/>
    <n v="7"/>
    <s v="TikTok"/>
    <s v="Yes"/>
    <n v="5.3"/>
    <n v="5"/>
    <s v="In Relationship"/>
    <n v="4"/>
    <n v="9"/>
    <s v="Tiktok"/>
    <n v="2"/>
    <s v="5.3"/>
    <s v="OK"/>
    <b v="1"/>
    <s v="High"/>
    <s v="9"/>
    <n v="4.8"/>
    <b v="1"/>
  </r>
  <r>
    <n v="348"/>
    <n v="22"/>
    <s v="Male"/>
    <x v="1"/>
    <s v="Mexico"/>
    <n v="5.8"/>
    <s v="WhatsApp"/>
    <s v="Yes"/>
    <n v="6.4"/>
    <n v="6"/>
    <s v="Single"/>
    <n v="3"/>
    <n v="7"/>
    <s v="Whatsapp"/>
    <n v="1"/>
    <s v="6.4"/>
    <s v="OK"/>
    <b v="1"/>
    <s v="High"/>
    <s v="7"/>
    <n v="4.8"/>
    <b v="1"/>
  </r>
  <r>
    <n v="349"/>
    <n v="19"/>
    <s v="Female"/>
    <x v="0"/>
    <s v="France"/>
    <n v="4.3"/>
    <s v="Instagram"/>
    <s v="No"/>
    <n v="7.7"/>
    <n v="7"/>
    <s v="In Relationship"/>
    <n v="2"/>
    <n v="5"/>
    <s v="Instagram"/>
    <n v="1"/>
    <s v="7.7"/>
    <s v="OK"/>
    <s v="medium"/>
    <s v="Medium"/>
    <s v="5"/>
    <n v="4.8"/>
    <b v="1"/>
  </r>
  <r>
    <n v="350"/>
    <n v="21"/>
    <s v="Male"/>
    <x v="1"/>
    <s v="Canada"/>
    <n v="5.0999999999999996"/>
    <s v="Instagram"/>
    <s v="Yes"/>
    <n v="7.1"/>
    <n v="6"/>
    <s v="Single"/>
    <n v="3"/>
    <n v="7"/>
    <s v="Instagram"/>
    <n v="1"/>
    <s v="7.1"/>
    <s v="OK"/>
    <b v="1"/>
    <s v="High"/>
    <s v="7"/>
    <n v="4.8"/>
    <b v="1"/>
  </r>
  <r>
    <n v="351"/>
    <n v="20"/>
    <s v="Female"/>
    <x v="0"/>
    <s v="Spain"/>
    <n v="4.9000000000000004"/>
    <s v="TikTok"/>
    <s v="Yes"/>
    <n v="7"/>
    <n v="6"/>
    <s v="Single"/>
    <n v="3"/>
    <n v="7"/>
    <s v="Tiktok"/>
    <n v="2"/>
    <s v="7"/>
    <s v="OK"/>
    <b v="1"/>
    <s v="High"/>
    <s v="7"/>
    <n v="4.8"/>
    <b v="1"/>
  </r>
  <r>
    <n v="352"/>
    <n v="22"/>
    <s v="Male"/>
    <x v="1"/>
    <s v="Denmark"/>
    <n v="3.7"/>
    <s v="Facebook"/>
    <s v="No"/>
    <n v="8.1"/>
    <n v="8"/>
    <s v="In Relationship"/>
    <n v="2"/>
    <n v="4"/>
    <s v="Facebook"/>
    <n v="0"/>
    <s v="8.1"/>
    <s v="OK"/>
    <s v="medium"/>
    <s v="Low"/>
    <s v="4"/>
    <n v="4.8"/>
    <b v="1"/>
  </r>
  <r>
    <n v="353"/>
    <n v="19"/>
    <s v="Female"/>
    <x v="0"/>
    <s v="Ireland"/>
    <n v="4.5999999999999996"/>
    <s v="Instagram"/>
    <s v="Yes"/>
    <n v="7.3"/>
    <n v="7"/>
    <s v="Single"/>
    <n v="3"/>
    <n v="6"/>
    <s v="Instagram"/>
    <n v="1"/>
    <s v="7.3"/>
    <s v="OK"/>
    <s v="medium"/>
    <s v="Medium"/>
    <s v="6"/>
    <n v="4.8"/>
    <b v="1"/>
  </r>
  <r>
    <n v="354"/>
    <n v="21"/>
    <s v="Male"/>
    <x v="1"/>
    <s v="India"/>
    <n v="6.1"/>
    <s v="WhatsApp"/>
    <s v="Yes"/>
    <n v="6.2"/>
    <n v="5"/>
    <s v="In Relationship"/>
    <n v="4"/>
    <n v="8"/>
    <s v="Whatsapp"/>
    <n v="1"/>
    <s v="6.2"/>
    <s v="OK"/>
    <b v="1"/>
    <s v="High"/>
    <s v="8"/>
    <n v="4.8"/>
    <b v="1"/>
  </r>
  <r>
    <n v="355"/>
    <n v="20"/>
    <s v="Female"/>
    <x v="0"/>
    <s v="Switzerland"/>
    <n v="3.6"/>
    <s v="Instagram"/>
    <s v="No"/>
    <n v="8.1999999999999993"/>
    <n v="8"/>
    <s v="Single"/>
    <n v="2"/>
    <n v="4"/>
    <s v="Instagram"/>
    <n v="1"/>
    <s v="8.2"/>
    <s v="OK"/>
    <s v="medium"/>
    <s v="Low"/>
    <s v="4"/>
    <n v="4.8"/>
    <b v="1"/>
  </r>
  <r>
    <n v="356"/>
    <n v="22"/>
    <s v="Male"/>
    <x v="1"/>
    <s v="Turkey"/>
    <n v="5.2"/>
    <s v="TikTok"/>
    <s v="Yes"/>
    <n v="7"/>
    <n v="6"/>
    <s v="Single"/>
    <n v="3"/>
    <n v="7"/>
    <s v="Tiktok"/>
    <n v="2"/>
    <s v="7"/>
    <s v="OK"/>
    <b v="1"/>
    <s v="High"/>
    <s v="7"/>
    <n v="4.8"/>
    <b v="1"/>
  </r>
  <r>
    <n v="357"/>
    <n v="19"/>
    <s v="Female"/>
    <x v="0"/>
    <s v="USA"/>
    <n v="7.1"/>
    <s v="Instagram"/>
    <s v="Yes"/>
    <n v="5.2"/>
    <n v="5"/>
    <s v="In Relationship"/>
    <n v="4"/>
    <n v="9"/>
    <s v="Instagram"/>
    <n v="1"/>
    <s v="5.2"/>
    <s v="OK"/>
    <b v="1"/>
    <s v="High"/>
    <s v="9"/>
    <n v="4.8"/>
    <b v="1"/>
  </r>
  <r>
    <n v="358"/>
    <n v="21"/>
    <s v="Male"/>
    <x v="1"/>
    <s v="Mexico"/>
    <n v="5.9"/>
    <s v="WhatsApp"/>
    <s v="Yes"/>
    <n v="6.3"/>
    <n v="6"/>
    <s v="Single"/>
    <n v="3"/>
    <n v="7"/>
    <s v="Whatsapp"/>
    <n v="1"/>
    <s v="6.3"/>
    <s v="OK"/>
    <b v="1"/>
    <s v="High"/>
    <s v="7"/>
    <n v="4.7"/>
    <b v="1"/>
  </r>
  <r>
    <n v="359"/>
    <n v="20"/>
    <s v="Female"/>
    <x v="0"/>
    <s v="France"/>
    <n v="4.2"/>
    <s v="Instagram"/>
    <s v="No"/>
    <n v="7.8"/>
    <n v="7"/>
    <s v="In Relationship"/>
    <n v="2"/>
    <n v="5"/>
    <s v="Instagram"/>
    <n v="1"/>
    <s v="7.8"/>
    <s v="OK"/>
    <s v="medium"/>
    <s v="Medium"/>
    <s v="5"/>
    <n v="4.7"/>
    <b v="1"/>
  </r>
  <r>
    <n v="360"/>
    <n v="22"/>
    <s v="Male"/>
    <x v="1"/>
    <s v="Canada"/>
    <n v="5"/>
    <s v="TikTok"/>
    <s v="Yes"/>
    <n v="7.2"/>
    <n v="6"/>
    <s v="Single"/>
    <n v="3"/>
    <n v="7"/>
    <s v="Tiktok"/>
    <n v="2"/>
    <s v="7.2"/>
    <s v="OK"/>
    <b v="1"/>
    <s v="High"/>
    <s v="7"/>
    <n v="4.7"/>
    <b v="1"/>
  </r>
  <r>
    <n v="361"/>
    <n v="19"/>
    <s v="Female"/>
    <x v="0"/>
    <s v="Spain"/>
    <n v="4.8"/>
    <s v="Instagram"/>
    <s v="Yes"/>
    <n v="7.1"/>
    <n v="6"/>
    <s v="Single"/>
    <n v="3"/>
    <n v="7"/>
    <s v="Instagram"/>
    <n v="1"/>
    <s v="7.1"/>
    <s v="OK"/>
    <b v="1"/>
    <s v="High"/>
    <s v="7"/>
    <n v="4.7"/>
    <b v="1"/>
  </r>
  <r>
    <n v="362"/>
    <n v="21"/>
    <s v="Male"/>
    <x v="1"/>
    <s v="Denmark"/>
    <n v="3.6"/>
    <s v="Facebook"/>
    <s v="No"/>
    <n v="8.1999999999999993"/>
    <n v="8"/>
    <s v="In Relationship"/>
    <n v="2"/>
    <n v="4"/>
    <s v="Facebook"/>
    <n v="0"/>
    <s v="8.2"/>
    <s v="OK"/>
    <s v="medium"/>
    <s v="Low"/>
    <s v="4"/>
    <n v="4.7"/>
    <b v="1"/>
  </r>
  <r>
    <n v="363"/>
    <n v="20"/>
    <s v="Female"/>
    <x v="0"/>
    <s v="Ireland"/>
    <n v="4.5"/>
    <s v="TikTok"/>
    <s v="Yes"/>
    <n v="7.4"/>
    <n v="7"/>
    <s v="Single"/>
    <n v="3"/>
    <n v="6"/>
    <s v="Tiktok"/>
    <n v="2"/>
    <s v="7.4"/>
    <s v="OK"/>
    <s v="medium"/>
    <s v="Medium"/>
    <s v="6"/>
    <n v="4.7"/>
    <b v="1"/>
  </r>
  <r>
    <n v="364"/>
    <n v="22"/>
    <s v="Male"/>
    <x v="1"/>
    <s v="India"/>
    <n v="6.2"/>
    <s v="WhatsApp"/>
    <s v="Yes"/>
    <n v="6.1"/>
    <n v="5"/>
    <s v="In Relationship"/>
    <n v="4"/>
    <n v="8"/>
    <s v="Whatsapp"/>
    <n v="1"/>
    <s v="6.1"/>
    <s v="OK"/>
    <b v="1"/>
    <s v="High"/>
    <s v="8"/>
    <n v="4.7"/>
    <b v="1"/>
  </r>
  <r>
    <n v="365"/>
    <n v="19"/>
    <s v="Female"/>
    <x v="0"/>
    <s v="Switzerland"/>
    <n v="3.5"/>
    <s v="Instagram"/>
    <s v="No"/>
    <n v="8.3000000000000007"/>
    <n v="8"/>
    <s v="Single"/>
    <n v="2"/>
    <n v="4"/>
    <s v="Instagram"/>
    <n v="1"/>
    <s v="8.3"/>
    <s v="OK"/>
    <s v="medium"/>
    <s v="Low"/>
    <s v="4"/>
    <n v="4.7"/>
    <b v="1"/>
  </r>
  <r>
    <n v="366"/>
    <n v="21"/>
    <s v="Male"/>
    <x v="1"/>
    <s v="Turkey"/>
    <n v="5.0999999999999996"/>
    <s v="Instagram"/>
    <s v="Yes"/>
    <n v="7.1"/>
    <n v="6"/>
    <s v="Single"/>
    <n v="3"/>
    <n v="7"/>
    <s v="Instagram"/>
    <n v="1"/>
    <s v="7.1"/>
    <s v="OK"/>
    <b v="1"/>
    <s v="High"/>
    <s v="7"/>
    <n v="4.7"/>
    <b v="1"/>
  </r>
  <r>
    <n v="367"/>
    <n v="20"/>
    <s v="Female"/>
    <x v="0"/>
    <s v="USA"/>
    <n v="7.2"/>
    <s v="TikTok"/>
    <s v="Yes"/>
    <n v="5.0999999999999996"/>
    <n v="5"/>
    <s v="In Relationship"/>
    <n v="4"/>
    <n v="9"/>
    <s v="Tiktok"/>
    <n v="2"/>
    <s v="5.1"/>
    <s v="OK"/>
    <b v="1"/>
    <s v="High"/>
    <s v="9"/>
    <n v="4.7"/>
    <b v="1"/>
  </r>
  <r>
    <n v="368"/>
    <n v="22"/>
    <s v="Male"/>
    <x v="1"/>
    <s v="Mexico"/>
    <n v="6"/>
    <s v="WhatsApp"/>
    <s v="Yes"/>
    <n v="6.2"/>
    <n v="6"/>
    <s v="Single"/>
    <n v="3"/>
    <n v="7"/>
    <s v="Whatsapp"/>
    <n v="1"/>
    <s v="6.2"/>
    <s v="OK"/>
    <b v="1"/>
    <s v="High"/>
    <s v="7"/>
    <n v="4.7"/>
    <b v="1"/>
  </r>
  <r>
    <n v="369"/>
    <n v="19"/>
    <s v="Female"/>
    <x v="0"/>
    <s v="France"/>
    <n v="4.0999999999999996"/>
    <s v="Instagram"/>
    <s v="No"/>
    <n v="7.9"/>
    <n v="7"/>
    <s v="In Relationship"/>
    <n v="2"/>
    <n v="5"/>
    <s v="Instagram"/>
    <n v="1"/>
    <s v="7.9"/>
    <s v="OK"/>
    <s v="medium"/>
    <s v="Medium"/>
    <s v="5"/>
    <n v="4.7"/>
    <b v="1"/>
  </r>
  <r>
    <n v="370"/>
    <n v="21"/>
    <s v="Male"/>
    <x v="1"/>
    <s v="Canada"/>
    <n v="4.9000000000000004"/>
    <s v="Instagram"/>
    <s v="Yes"/>
    <n v="7.3"/>
    <n v="6"/>
    <s v="Single"/>
    <n v="3"/>
    <n v="7"/>
    <s v="Instagram"/>
    <n v="1"/>
    <s v="7.3"/>
    <s v="OK"/>
    <b v="1"/>
    <s v="High"/>
    <s v="7"/>
    <n v="4.7"/>
    <b v="1"/>
  </r>
  <r>
    <n v="371"/>
    <n v="20"/>
    <s v="Female"/>
    <x v="0"/>
    <s v="Spain"/>
    <n v="4.7"/>
    <s v="TikTok"/>
    <s v="Yes"/>
    <n v="7.2"/>
    <n v="6"/>
    <s v="Single"/>
    <n v="3"/>
    <n v="7"/>
    <s v="Tiktok"/>
    <n v="2"/>
    <s v="7.2"/>
    <s v="OK"/>
    <b v="1"/>
    <s v="High"/>
    <s v="7"/>
    <n v="4.7"/>
    <b v="1"/>
  </r>
  <r>
    <n v="372"/>
    <n v="22"/>
    <s v="Male"/>
    <x v="1"/>
    <s v="Denmark"/>
    <n v="3.5"/>
    <s v="Facebook"/>
    <s v="No"/>
    <n v="8.3000000000000007"/>
    <n v="8"/>
    <s v="In Relationship"/>
    <n v="2"/>
    <n v="4"/>
    <s v="Facebook"/>
    <n v="0"/>
    <s v="8.3"/>
    <s v="OK"/>
    <s v="medium"/>
    <s v="Low"/>
    <s v="4"/>
    <n v="4.7"/>
    <b v="1"/>
  </r>
  <r>
    <n v="373"/>
    <n v="19"/>
    <s v="Female"/>
    <x v="0"/>
    <s v="Ireland"/>
    <n v="4.4000000000000004"/>
    <s v="Instagram"/>
    <s v="Yes"/>
    <n v="7.5"/>
    <n v="7"/>
    <s v="Single"/>
    <n v="3"/>
    <n v="6"/>
    <s v="Instagram"/>
    <n v="1"/>
    <s v="7.5"/>
    <s v="OK"/>
    <s v="medium"/>
    <s v="Medium"/>
    <s v="6"/>
    <n v="4.7"/>
    <b v="1"/>
  </r>
  <r>
    <n v="374"/>
    <n v="21"/>
    <s v="Male"/>
    <x v="1"/>
    <s v="India"/>
    <n v="6.3"/>
    <s v="WhatsApp"/>
    <s v="Yes"/>
    <n v="6"/>
    <n v="5"/>
    <s v="In Relationship"/>
    <n v="4"/>
    <n v="8"/>
    <s v="Whatsapp"/>
    <n v="1"/>
    <s v="6"/>
    <s v="OK"/>
    <b v="1"/>
    <s v="High"/>
    <s v="8"/>
    <n v="4.7"/>
    <b v="1"/>
  </r>
  <r>
    <n v="375"/>
    <n v="20"/>
    <s v="Female"/>
    <x v="0"/>
    <s v="Switzerland"/>
    <n v="3.4"/>
    <s v="Instagram"/>
    <s v="No"/>
    <n v="8.4"/>
    <n v="8"/>
    <s v="Single"/>
    <n v="2"/>
    <n v="4"/>
    <s v="Instagram"/>
    <n v="1"/>
    <s v="8.4"/>
    <s v="OK"/>
    <s v="medium"/>
    <s v="Low"/>
    <s v="4"/>
    <n v="4.7"/>
    <b v="1"/>
  </r>
  <r>
    <n v="376"/>
    <n v="22"/>
    <s v="Male"/>
    <x v="1"/>
    <s v="Turkey"/>
    <n v="5"/>
    <s v="TikTok"/>
    <s v="Yes"/>
    <n v="7.2"/>
    <n v="6"/>
    <s v="Single"/>
    <n v="3"/>
    <n v="7"/>
    <s v="Tiktok"/>
    <n v="2"/>
    <s v="7.2"/>
    <s v="OK"/>
    <b v="1"/>
    <s v="High"/>
    <s v="7"/>
    <n v="4.7"/>
    <b v="1"/>
  </r>
  <r>
    <n v="377"/>
    <n v="19"/>
    <s v="Female"/>
    <x v="0"/>
    <s v="USA"/>
    <n v="7.3"/>
    <s v="Instagram"/>
    <s v="Yes"/>
    <n v="5"/>
    <n v="5"/>
    <s v="In Relationship"/>
    <n v="4"/>
    <n v="9"/>
    <s v="Instagram"/>
    <n v="1"/>
    <s v="5"/>
    <s v="OK"/>
    <b v="1"/>
    <s v="High"/>
    <s v="9"/>
    <n v="4.7"/>
    <b v="1"/>
  </r>
  <r>
    <n v="378"/>
    <n v="21"/>
    <s v="Male"/>
    <x v="1"/>
    <s v="Mexico"/>
    <n v="6.1"/>
    <s v="WhatsApp"/>
    <s v="Yes"/>
    <n v="6.1"/>
    <n v="6"/>
    <s v="Single"/>
    <n v="3"/>
    <n v="7"/>
    <s v="Whatsapp"/>
    <n v="1"/>
    <s v="6.1"/>
    <s v="OK"/>
    <b v="1"/>
    <s v="High"/>
    <s v="7"/>
    <n v="4.7"/>
    <b v="1"/>
  </r>
  <r>
    <n v="379"/>
    <n v="20"/>
    <s v="Female"/>
    <x v="0"/>
    <s v="France"/>
    <n v="4"/>
    <s v="Instagram"/>
    <s v="No"/>
    <n v="8"/>
    <n v="7"/>
    <s v="In Relationship"/>
    <n v="2"/>
    <n v="5"/>
    <s v="Instagram"/>
    <n v="1"/>
    <s v="8"/>
    <s v="OK"/>
    <s v="medium"/>
    <s v="Medium"/>
    <s v="5"/>
    <n v="4.7"/>
    <b v="1"/>
  </r>
  <r>
    <n v="380"/>
    <n v="22"/>
    <s v="Male"/>
    <x v="1"/>
    <s v="Canada"/>
    <n v="4.8"/>
    <s v="TikTok"/>
    <s v="Yes"/>
    <n v="7.4"/>
    <n v="6"/>
    <s v="Single"/>
    <n v="3"/>
    <n v="7"/>
    <s v="Tiktok"/>
    <n v="2"/>
    <s v="7.4"/>
    <s v="OK"/>
    <b v="1"/>
    <s v="High"/>
    <s v="7"/>
    <n v="4.7"/>
    <b v="1"/>
  </r>
  <r>
    <n v="381"/>
    <n v="19"/>
    <s v="Female"/>
    <x v="0"/>
    <s v="Spain"/>
    <n v="4.5999999999999996"/>
    <s v="Instagram"/>
    <s v="Yes"/>
    <n v="7.3"/>
    <n v="6"/>
    <s v="Single"/>
    <n v="3"/>
    <n v="7"/>
    <s v="Instagram"/>
    <n v="1"/>
    <s v="7.3"/>
    <s v="OK"/>
    <b v="1"/>
    <s v="High"/>
    <s v="7"/>
    <n v="4.7"/>
    <b v="1"/>
  </r>
  <r>
    <n v="382"/>
    <n v="21"/>
    <s v="Male"/>
    <x v="1"/>
    <s v="Denmark"/>
    <n v="3.4"/>
    <s v="Facebook"/>
    <s v="No"/>
    <n v="8.4"/>
    <n v="8"/>
    <s v="In Relationship"/>
    <n v="2"/>
    <n v="4"/>
    <s v="Facebook"/>
    <n v="0"/>
    <s v="8.4"/>
    <s v="OK"/>
    <s v="medium"/>
    <s v="Low"/>
    <s v="4"/>
    <n v="4.7"/>
    <b v="1"/>
  </r>
  <r>
    <n v="383"/>
    <n v="20"/>
    <s v="Female"/>
    <x v="0"/>
    <s v="Ireland"/>
    <n v="4.3"/>
    <s v="TikTok"/>
    <s v="Yes"/>
    <n v="7.6"/>
    <n v="7"/>
    <s v="Single"/>
    <n v="3"/>
    <n v="6"/>
    <s v="Tiktok"/>
    <n v="2"/>
    <s v="7.6"/>
    <s v="OK"/>
    <s v="medium"/>
    <s v="Medium"/>
    <s v="6"/>
    <n v="4.7"/>
    <b v="1"/>
  </r>
  <r>
    <n v="384"/>
    <n v="22"/>
    <s v="Male"/>
    <x v="1"/>
    <s v="India"/>
    <n v="6.4"/>
    <s v="WhatsApp"/>
    <s v="Yes"/>
    <n v="5.9"/>
    <n v="5"/>
    <s v="In Relationship"/>
    <n v="4"/>
    <n v="8"/>
    <s v="Whatsapp"/>
    <n v="1"/>
    <s v="5.9"/>
    <s v="OK"/>
    <b v="1"/>
    <s v="High"/>
    <s v="8"/>
    <n v="4.7"/>
    <b v="1"/>
  </r>
  <r>
    <n v="385"/>
    <n v="19"/>
    <s v="Female"/>
    <x v="0"/>
    <s v="Switzerland"/>
    <n v="3.3"/>
    <s v="Instagram"/>
    <s v="No"/>
    <n v="8.5"/>
    <n v="8"/>
    <s v="Single"/>
    <n v="2"/>
    <n v="4"/>
    <s v="Instagram"/>
    <n v="1"/>
    <s v="8.5"/>
    <s v="OK"/>
    <s v="medium"/>
    <s v="Low"/>
    <s v="4"/>
    <n v="4.7"/>
    <b v="1"/>
  </r>
  <r>
    <n v="386"/>
    <n v="21"/>
    <s v="Male"/>
    <x v="1"/>
    <s v="Turkey"/>
    <n v="4.9000000000000004"/>
    <s v="Instagram"/>
    <s v="Yes"/>
    <n v="7.3"/>
    <n v="6"/>
    <s v="Single"/>
    <n v="3"/>
    <n v="7"/>
    <s v="Instagram"/>
    <n v="1"/>
    <s v="7.3"/>
    <s v="OK"/>
    <b v="1"/>
    <s v="High"/>
    <s v="7"/>
    <n v="4.7"/>
    <b v="1"/>
  </r>
  <r>
    <n v="387"/>
    <n v="20"/>
    <s v="Female"/>
    <x v="0"/>
    <s v="USA"/>
    <n v="7.4"/>
    <s v="TikTok"/>
    <s v="Yes"/>
    <n v="4.9000000000000004"/>
    <n v="5"/>
    <s v="In Relationship"/>
    <n v="4"/>
    <n v="9"/>
    <s v="Tiktok"/>
    <n v="2"/>
    <s v="4.9"/>
    <s v="LESS SLEEP"/>
    <b v="1"/>
    <s v="High"/>
    <s v="9"/>
    <n v="4.7"/>
    <b v="1"/>
  </r>
  <r>
    <n v="388"/>
    <n v="22"/>
    <s v="Male"/>
    <x v="1"/>
    <s v="Mexico"/>
    <n v="6.2"/>
    <s v="WhatsApp"/>
    <s v="Yes"/>
    <n v="6"/>
    <n v="6"/>
    <s v="Single"/>
    <n v="3"/>
    <n v="7"/>
    <s v="Whatsapp"/>
    <n v="1"/>
    <s v="6"/>
    <s v="OK"/>
    <b v="1"/>
    <s v="High"/>
    <s v="7"/>
    <n v="4.7"/>
    <b v="1"/>
  </r>
  <r>
    <n v="389"/>
    <n v="19"/>
    <s v="Female"/>
    <x v="0"/>
    <s v="France"/>
    <n v="3.9"/>
    <s v="Instagram"/>
    <s v="No"/>
    <n v="8.1"/>
    <n v="7"/>
    <s v="In Relationship"/>
    <n v="2"/>
    <n v="5"/>
    <s v="Instagram"/>
    <n v="1"/>
    <s v="8.1"/>
    <s v="OK"/>
    <s v="medium"/>
    <s v="Medium"/>
    <s v="5"/>
    <n v="4.5999999999999996"/>
    <b v="1"/>
  </r>
  <r>
    <n v="390"/>
    <n v="21"/>
    <s v="Male"/>
    <x v="1"/>
    <s v="Canada"/>
    <n v="4.7"/>
    <s v="Instagram"/>
    <s v="Yes"/>
    <n v="7.5"/>
    <n v="6"/>
    <s v="Single"/>
    <n v="3"/>
    <n v="7"/>
    <s v="Instagram"/>
    <n v="1"/>
    <s v="7.5"/>
    <s v="OK"/>
    <b v="1"/>
    <s v="High"/>
    <s v="7"/>
    <n v="4.5999999999999996"/>
    <b v="1"/>
  </r>
  <r>
    <n v="391"/>
    <n v="20"/>
    <s v="Female"/>
    <x v="0"/>
    <s v="Spain"/>
    <n v="4.5"/>
    <s v="TikTok"/>
    <s v="Yes"/>
    <n v="7.4"/>
    <n v="6"/>
    <s v="Single"/>
    <n v="3"/>
    <n v="7"/>
    <s v="Tiktok"/>
    <n v="2"/>
    <s v="7.4"/>
    <s v="OK"/>
    <b v="1"/>
    <s v="High"/>
    <s v="7"/>
    <n v="4.5999999999999996"/>
    <b v="1"/>
  </r>
  <r>
    <n v="392"/>
    <n v="22"/>
    <s v="Male"/>
    <x v="1"/>
    <s v="Denmark"/>
    <n v="3.3"/>
    <s v="Facebook"/>
    <s v="No"/>
    <n v="8.5"/>
    <n v="8"/>
    <s v="In Relationship"/>
    <n v="2"/>
    <n v="4"/>
    <s v="Facebook"/>
    <n v="0"/>
    <s v="8.5"/>
    <s v="OK"/>
    <s v="medium"/>
    <s v="Low"/>
    <s v="4"/>
    <n v="4.5999999999999996"/>
    <b v="1"/>
  </r>
  <r>
    <n v="393"/>
    <n v="19"/>
    <s v="Female"/>
    <x v="0"/>
    <s v="Ireland"/>
    <n v="4.2"/>
    <s v="Instagram"/>
    <s v="Yes"/>
    <n v="7.7"/>
    <n v="7"/>
    <s v="Single"/>
    <n v="3"/>
    <n v="6"/>
    <s v="Instagram"/>
    <n v="1"/>
    <s v="7.7"/>
    <s v="OK"/>
    <s v="medium"/>
    <s v="Medium"/>
    <s v="6"/>
    <n v="4.5999999999999996"/>
    <b v="1"/>
  </r>
  <r>
    <n v="394"/>
    <n v="21"/>
    <s v="Male"/>
    <x v="1"/>
    <s v="India"/>
    <n v="6.5"/>
    <s v="WhatsApp"/>
    <s v="Yes"/>
    <n v="5.8"/>
    <n v="5"/>
    <s v="In Relationship"/>
    <n v="4"/>
    <n v="8"/>
    <s v="Whatsapp"/>
    <n v="1"/>
    <s v="5.8"/>
    <s v="OK"/>
    <b v="1"/>
    <s v="High"/>
    <s v="8"/>
    <n v="4.5999999999999996"/>
    <b v="1"/>
  </r>
  <r>
    <n v="395"/>
    <n v="20"/>
    <s v="Female"/>
    <x v="0"/>
    <s v="Switzerland"/>
    <n v="3.2"/>
    <s v="Instagram"/>
    <s v="No"/>
    <n v="8.6"/>
    <n v="8"/>
    <s v="Single"/>
    <n v="2"/>
    <n v="4"/>
    <s v="Instagram"/>
    <n v="1"/>
    <s v="8.6"/>
    <s v="OK"/>
    <s v="medium"/>
    <s v="Low"/>
    <s v="4"/>
    <n v="4.5999999999999996"/>
    <b v="1"/>
  </r>
  <r>
    <n v="396"/>
    <n v="22"/>
    <s v="Male"/>
    <x v="1"/>
    <s v="Turkey"/>
    <n v="4.8"/>
    <s v="TikTok"/>
    <s v="Yes"/>
    <n v="7.4"/>
    <n v="6"/>
    <s v="Single"/>
    <n v="3"/>
    <n v="7"/>
    <s v="Tiktok"/>
    <n v="2"/>
    <s v="7.4"/>
    <s v="OK"/>
    <b v="1"/>
    <s v="High"/>
    <s v="7"/>
    <n v="4.5999999999999996"/>
    <b v="1"/>
  </r>
  <r>
    <n v="397"/>
    <n v="19"/>
    <s v="Female"/>
    <x v="0"/>
    <s v="USA"/>
    <n v="7.5"/>
    <s v="Instagram"/>
    <s v="Yes"/>
    <n v="4.8"/>
    <n v="5"/>
    <s v="In Relationship"/>
    <n v="4"/>
    <n v="9"/>
    <s v="Instagram"/>
    <n v="1"/>
    <s v="4.8"/>
    <s v="LESS SLEEP"/>
    <b v="1"/>
    <s v="High"/>
    <s v="9"/>
    <n v="4.5999999999999996"/>
    <b v="1"/>
  </r>
  <r>
    <n v="398"/>
    <n v="21"/>
    <s v="Male"/>
    <x v="1"/>
    <s v="Mexico"/>
    <n v="6.3"/>
    <s v="WhatsApp"/>
    <s v="Yes"/>
    <n v="5.9"/>
    <n v="6"/>
    <s v="Single"/>
    <n v="3"/>
    <n v="7"/>
    <s v="Whatsapp"/>
    <n v="1"/>
    <s v="5.9"/>
    <s v="OK"/>
    <b v="1"/>
    <s v="High"/>
    <s v="7"/>
    <n v="4.5999999999999996"/>
    <b v="1"/>
  </r>
  <r>
    <n v="399"/>
    <n v="20"/>
    <s v="Female"/>
    <x v="0"/>
    <s v="France"/>
    <n v="3.8"/>
    <s v="Instagram"/>
    <s v="No"/>
    <n v="8.1999999999999993"/>
    <n v="7"/>
    <s v="In Relationship"/>
    <n v="2"/>
    <n v="5"/>
    <s v="Instagram"/>
    <n v="1"/>
    <s v="8.2"/>
    <s v="OK"/>
    <s v="medium"/>
    <s v="Medium"/>
    <s v="5"/>
    <n v="4.5999999999999996"/>
    <b v="1"/>
  </r>
  <r>
    <n v="400"/>
    <n v="22"/>
    <s v="Male"/>
    <x v="1"/>
    <s v="Canada"/>
    <n v="4.5999999999999996"/>
    <s v="TikTok"/>
    <s v="Yes"/>
    <n v="7.6"/>
    <n v="6"/>
    <s v="Single"/>
    <n v="3"/>
    <n v="7"/>
    <s v="Tiktok"/>
    <n v="2"/>
    <s v="7.6"/>
    <s v="OK"/>
    <b v="1"/>
    <s v="High"/>
    <s v="7"/>
    <n v="4.5999999999999996"/>
    <b v="1"/>
  </r>
  <r>
    <n v="401"/>
    <n v="19"/>
    <s v="Female"/>
    <x v="0"/>
    <s v="Spain"/>
    <n v="4.4000000000000004"/>
    <s v="Instagram"/>
    <s v="Yes"/>
    <n v="7.5"/>
    <n v="6"/>
    <s v="Single"/>
    <n v="3"/>
    <n v="7"/>
    <s v="Instagram"/>
    <n v="1"/>
    <s v="7.5"/>
    <s v="OK"/>
    <b v="1"/>
    <s v="High"/>
    <s v="7"/>
    <n v="4.5999999999999996"/>
    <b v="1"/>
  </r>
  <r>
    <n v="402"/>
    <n v="21"/>
    <s v="Male"/>
    <x v="1"/>
    <s v="Denmark"/>
    <n v="3.2"/>
    <s v="Facebook"/>
    <s v="No"/>
    <n v="8.6"/>
    <n v="8"/>
    <s v="In Relationship"/>
    <n v="2"/>
    <n v="4"/>
    <s v="Facebook"/>
    <n v="0"/>
    <s v="8.6"/>
    <s v="OK"/>
    <s v="medium"/>
    <s v="Low"/>
    <s v="4"/>
    <n v="4.5999999999999996"/>
    <b v="1"/>
  </r>
  <r>
    <n v="403"/>
    <n v="20"/>
    <s v="Female"/>
    <x v="0"/>
    <s v="Ireland"/>
    <n v="4.0999999999999996"/>
    <s v="TikTok"/>
    <s v="Yes"/>
    <n v="7.8"/>
    <n v="7"/>
    <s v="Single"/>
    <n v="3"/>
    <n v="6"/>
    <s v="Tiktok"/>
    <n v="2"/>
    <s v="7.8"/>
    <s v="OK"/>
    <s v="medium"/>
    <s v="Medium"/>
    <s v="6"/>
    <n v="4.5999999999999996"/>
    <b v="1"/>
  </r>
  <r>
    <n v="404"/>
    <n v="22"/>
    <s v="Male"/>
    <x v="1"/>
    <s v="India"/>
    <n v="6.6"/>
    <s v="WhatsApp"/>
    <s v="Yes"/>
    <n v="5.7"/>
    <n v="5"/>
    <s v="In Relationship"/>
    <n v="4"/>
    <n v="8"/>
    <s v="Whatsapp"/>
    <n v="1"/>
    <s v="5.7"/>
    <s v="OK"/>
    <b v="1"/>
    <s v="High"/>
    <s v="8"/>
    <n v="4.5999999999999996"/>
    <b v="1"/>
  </r>
  <r>
    <n v="405"/>
    <n v="19"/>
    <s v="Female"/>
    <x v="0"/>
    <s v="Switzerland"/>
    <n v="3.1"/>
    <s v="Instagram"/>
    <s v="No"/>
    <n v="8.6999999999999993"/>
    <n v="8"/>
    <s v="Single"/>
    <n v="2"/>
    <n v="4"/>
    <s v="Instagram"/>
    <n v="1"/>
    <s v="8.7"/>
    <s v="OK"/>
    <s v="medium"/>
    <s v="Low"/>
    <s v="4"/>
    <n v="4.5999999999999996"/>
    <b v="1"/>
  </r>
  <r>
    <n v="406"/>
    <n v="21"/>
    <s v="Male"/>
    <x v="1"/>
    <s v="Turkey"/>
    <n v="4.7"/>
    <s v="Instagram"/>
    <s v="Yes"/>
    <n v="7.5"/>
    <n v="6"/>
    <s v="Single"/>
    <n v="3"/>
    <n v="7"/>
    <s v="Instagram"/>
    <n v="1"/>
    <s v="7.5"/>
    <s v="OK"/>
    <b v="1"/>
    <s v="High"/>
    <s v="7"/>
    <n v="4.5999999999999996"/>
    <b v="1"/>
  </r>
  <r>
    <n v="407"/>
    <n v="20"/>
    <s v="Female"/>
    <x v="0"/>
    <s v="USA"/>
    <n v="7.6"/>
    <s v="TikTok"/>
    <s v="Yes"/>
    <n v="4.7"/>
    <n v="5"/>
    <s v="In Relationship"/>
    <n v="4"/>
    <n v="9"/>
    <s v="Tiktok"/>
    <n v="2"/>
    <s v="4.7"/>
    <s v="LESS SLEEP"/>
    <b v="1"/>
    <s v="High"/>
    <s v="9"/>
    <n v="4.5999999999999996"/>
    <b v="1"/>
  </r>
  <r>
    <n v="408"/>
    <n v="22"/>
    <s v="Male"/>
    <x v="1"/>
    <s v="Mexico"/>
    <n v="6.4"/>
    <s v="WhatsApp"/>
    <s v="Yes"/>
    <n v="5.8"/>
    <n v="6"/>
    <s v="Single"/>
    <n v="3"/>
    <n v="7"/>
    <s v="Whatsapp"/>
    <n v="1"/>
    <s v="5.8"/>
    <s v="OK"/>
    <b v="1"/>
    <s v="High"/>
    <s v="7"/>
    <n v="4.5999999999999996"/>
    <b v="1"/>
  </r>
  <r>
    <n v="409"/>
    <n v="19"/>
    <s v="Female"/>
    <x v="0"/>
    <s v="France"/>
    <n v="3.7"/>
    <s v="Instagram"/>
    <s v="No"/>
    <n v="8.3000000000000007"/>
    <n v="7"/>
    <s v="In Relationship"/>
    <n v="2"/>
    <n v="5"/>
    <s v="Instagram"/>
    <n v="1"/>
    <s v="8.3"/>
    <s v="OK"/>
    <s v="medium"/>
    <s v="Medium"/>
    <s v="5"/>
    <n v="4.5999999999999996"/>
    <b v="1"/>
  </r>
  <r>
    <n v="410"/>
    <n v="21"/>
    <s v="Male"/>
    <x v="1"/>
    <s v="Canada"/>
    <n v="4.5"/>
    <s v="Instagram"/>
    <s v="Yes"/>
    <n v="7.7"/>
    <n v="6"/>
    <s v="Single"/>
    <n v="3"/>
    <n v="7"/>
    <s v="Instagram"/>
    <n v="1"/>
    <s v="7.7"/>
    <s v="OK"/>
    <b v="1"/>
    <s v="High"/>
    <s v="7"/>
    <n v="4.5999999999999996"/>
    <b v="1"/>
  </r>
  <r>
    <n v="411"/>
    <n v="20"/>
    <s v="Female"/>
    <x v="0"/>
    <s v="Spain"/>
    <n v="4.3"/>
    <s v="TikTok"/>
    <s v="Yes"/>
    <n v="7.6"/>
    <n v="6"/>
    <s v="Single"/>
    <n v="3"/>
    <n v="7"/>
    <s v="Tiktok"/>
    <n v="2"/>
    <s v="7.6"/>
    <s v="OK"/>
    <b v="1"/>
    <s v="High"/>
    <s v="7"/>
    <n v="4.5999999999999996"/>
    <b v="1"/>
  </r>
  <r>
    <n v="412"/>
    <n v="22"/>
    <s v="Male"/>
    <x v="1"/>
    <s v="Denmark"/>
    <n v="3.1"/>
    <s v="Facebook"/>
    <s v="No"/>
    <n v="8.6999999999999993"/>
    <n v="8"/>
    <s v="In Relationship"/>
    <n v="2"/>
    <n v="4"/>
    <s v="Facebook"/>
    <n v="0"/>
    <s v="8.7"/>
    <s v="OK"/>
    <s v="medium"/>
    <s v="Low"/>
    <s v="4"/>
    <n v="4.5999999999999996"/>
    <b v="1"/>
  </r>
  <r>
    <n v="413"/>
    <n v="19"/>
    <s v="Female"/>
    <x v="0"/>
    <s v="Ireland"/>
    <n v="4"/>
    <s v="Instagram"/>
    <s v="Yes"/>
    <n v="7.9"/>
    <n v="7"/>
    <s v="Single"/>
    <n v="3"/>
    <n v="6"/>
    <s v="Instagram"/>
    <n v="1"/>
    <s v="7.9"/>
    <s v="OK"/>
    <s v="medium"/>
    <s v="Medium"/>
    <s v="6"/>
    <n v="4.5999999999999996"/>
    <b v="1"/>
  </r>
  <r>
    <n v="414"/>
    <n v="21"/>
    <s v="Male"/>
    <x v="1"/>
    <s v="India"/>
    <n v="6.7"/>
    <s v="WhatsApp"/>
    <s v="Yes"/>
    <n v="5.6"/>
    <n v="5"/>
    <s v="In Relationship"/>
    <n v="4"/>
    <n v="8"/>
    <s v="Whatsapp"/>
    <n v="1"/>
    <s v="5.6"/>
    <s v="OK"/>
    <b v="1"/>
    <s v="High"/>
    <s v="8"/>
    <n v="4.5999999999999996"/>
    <b v="1"/>
  </r>
  <r>
    <n v="415"/>
    <n v="20"/>
    <s v="Female"/>
    <x v="0"/>
    <s v="Switzerland"/>
    <n v="3"/>
    <s v="Instagram"/>
    <s v="No"/>
    <n v="8.8000000000000007"/>
    <n v="8"/>
    <s v="Single"/>
    <n v="2"/>
    <n v="4"/>
    <s v="Instagram"/>
    <n v="1"/>
    <s v="8.8"/>
    <s v="OK"/>
    <s v="medium"/>
    <s v="Low"/>
    <s v="4"/>
    <n v="4.5999999999999996"/>
    <b v="1"/>
  </r>
  <r>
    <n v="416"/>
    <n v="22"/>
    <s v="Male"/>
    <x v="1"/>
    <s v="Turkey"/>
    <n v="4.5999999999999996"/>
    <s v="TikTok"/>
    <s v="Yes"/>
    <n v="7.6"/>
    <n v="6"/>
    <s v="Single"/>
    <n v="3"/>
    <n v="7"/>
    <s v="Tiktok"/>
    <n v="2"/>
    <s v="7.6"/>
    <s v="OK"/>
    <b v="1"/>
    <s v="High"/>
    <s v="7"/>
    <n v="4.5999999999999996"/>
    <b v="1"/>
  </r>
  <r>
    <n v="417"/>
    <n v="19"/>
    <s v="Female"/>
    <x v="0"/>
    <s v="USA"/>
    <n v="7.7"/>
    <s v="Instagram"/>
    <s v="Yes"/>
    <n v="4.5999999999999996"/>
    <n v="5"/>
    <s v="In Relationship"/>
    <n v="4"/>
    <n v="9"/>
    <s v="Instagram"/>
    <n v="1"/>
    <s v="4.6"/>
    <s v="LESS SLEEP"/>
    <b v="1"/>
    <s v="High"/>
    <s v="9"/>
    <n v="4.5"/>
    <b v="1"/>
  </r>
  <r>
    <n v="418"/>
    <n v="21"/>
    <s v="Male"/>
    <x v="1"/>
    <s v="Mexico"/>
    <n v="6.5"/>
    <s v="WhatsApp"/>
    <s v="Yes"/>
    <n v="5.7"/>
    <n v="6"/>
    <s v="Single"/>
    <n v="3"/>
    <n v="7"/>
    <s v="Whatsapp"/>
    <n v="1"/>
    <s v="5.7"/>
    <s v="OK"/>
    <b v="1"/>
    <s v="High"/>
    <s v="7"/>
    <n v="4.5"/>
    <b v="1"/>
  </r>
  <r>
    <n v="419"/>
    <n v="20"/>
    <s v="Female"/>
    <x v="0"/>
    <s v="France"/>
    <n v="3.6"/>
    <s v="Instagram"/>
    <s v="No"/>
    <n v="8.4"/>
    <n v="7"/>
    <s v="In Relationship"/>
    <n v="2"/>
    <n v="5"/>
    <s v="Instagram"/>
    <n v="1"/>
    <s v="8.4"/>
    <s v="OK"/>
    <s v="medium"/>
    <s v="Medium"/>
    <s v="5"/>
    <n v="4.5"/>
    <b v="1"/>
  </r>
  <r>
    <n v="420"/>
    <n v="22"/>
    <s v="Male"/>
    <x v="1"/>
    <s v="Canada"/>
    <n v="4.4000000000000004"/>
    <s v="TikTok"/>
    <s v="Yes"/>
    <n v="7.8"/>
    <n v="6"/>
    <s v="Single"/>
    <n v="3"/>
    <n v="7"/>
    <s v="Tiktok"/>
    <n v="2"/>
    <s v="7.8"/>
    <s v="OK"/>
    <b v="1"/>
    <s v="High"/>
    <s v="7"/>
    <n v="4.5"/>
    <b v="1"/>
  </r>
  <r>
    <n v="421"/>
    <n v="19"/>
    <s v="Female"/>
    <x v="0"/>
    <s v="Spain"/>
    <n v="4.2"/>
    <s v="Instagram"/>
    <s v="Yes"/>
    <n v="7.7"/>
    <n v="6"/>
    <s v="Single"/>
    <n v="3"/>
    <n v="7"/>
    <s v="Instagram"/>
    <n v="1"/>
    <s v="7.7"/>
    <s v="OK"/>
    <b v="1"/>
    <s v="High"/>
    <s v="7"/>
    <n v="4.5"/>
    <b v="1"/>
  </r>
  <r>
    <n v="422"/>
    <n v="21"/>
    <s v="Male"/>
    <x v="1"/>
    <s v="Denmark"/>
    <n v="3"/>
    <s v="Facebook"/>
    <s v="No"/>
    <n v="8.8000000000000007"/>
    <n v="8"/>
    <s v="In Relationship"/>
    <n v="2"/>
    <n v="4"/>
    <s v="Facebook"/>
    <n v="0"/>
    <s v="8.8"/>
    <s v="OK"/>
    <s v="medium"/>
    <s v="Low"/>
    <s v="4"/>
    <n v="4.5"/>
    <b v="1"/>
  </r>
  <r>
    <n v="423"/>
    <n v="20"/>
    <s v="Female"/>
    <x v="0"/>
    <s v="Ireland"/>
    <n v="3.9"/>
    <s v="TikTok"/>
    <s v="Yes"/>
    <n v="8"/>
    <n v="7"/>
    <s v="Single"/>
    <n v="3"/>
    <n v="6"/>
    <s v="Tiktok"/>
    <n v="2"/>
    <s v="8"/>
    <s v="OK"/>
    <s v="medium"/>
    <s v="Medium"/>
    <s v="6"/>
    <n v="4.5"/>
    <b v="1"/>
  </r>
  <r>
    <n v="424"/>
    <n v="22"/>
    <s v="Male"/>
    <x v="1"/>
    <s v="India"/>
    <n v="6.8"/>
    <s v="WhatsApp"/>
    <s v="Yes"/>
    <n v="5.5"/>
    <n v="5"/>
    <s v="In Relationship"/>
    <n v="4"/>
    <n v="8"/>
    <s v="Whatsapp"/>
    <n v="1"/>
    <s v="5.5"/>
    <s v="OK"/>
    <b v="1"/>
    <s v="High"/>
    <s v="8"/>
    <n v="4.5"/>
    <b v="1"/>
  </r>
  <r>
    <n v="425"/>
    <n v="19"/>
    <s v="Female"/>
    <x v="0"/>
    <s v="Switzerland"/>
    <n v="2.9"/>
    <s v="Instagram"/>
    <s v="No"/>
    <n v="8.9"/>
    <n v="8"/>
    <s v="Single"/>
    <n v="2"/>
    <n v="4"/>
    <s v="Instagram"/>
    <n v="1"/>
    <s v="8.9"/>
    <s v="OK"/>
    <s v="medium"/>
    <s v="Low"/>
    <s v="4"/>
    <n v="4.5"/>
    <b v="1"/>
  </r>
  <r>
    <n v="426"/>
    <n v="21"/>
    <s v="Male"/>
    <x v="1"/>
    <s v="Turkey"/>
    <n v="4.5"/>
    <s v="Instagram"/>
    <s v="Yes"/>
    <n v="7.7"/>
    <n v="6"/>
    <s v="Single"/>
    <n v="3"/>
    <n v="7"/>
    <s v="Instagram"/>
    <n v="1"/>
    <s v="7.7"/>
    <s v="OK"/>
    <b v="1"/>
    <s v="High"/>
    <s v="7"/>
    <n v="4.5"/>
    <b v="1"/>
  </r>
  <r>
    <n v="427"/>
    <n v="20"/>
    <s v="Female"/>
    <x v="0"/>
    <s v="USA"/>
    <n v="7.8"/>
    <s v="TikTok"/>
    <s v="Yes"/>
    <n v="4.5"/>
    <n v="5"/>
    <s v="In Relationship"/>
    <n v="4"/>
    <n v="9"/>
    <s v="Tiktok"/>
    <n v="2"/>
    <s v="4.5"/>
    <s v="LESS SLEEP"/>
    <b v="1"/>
    <s v="High"/>
    <s v="9"/>
    <n v="4.5"/>
    <b v="1"/>
  </r>
  <r>
    <n v="428"/>
    <n v="22"/>
    <s v="Male"/>
    <x v="1"/>
    <s v="Mexico"/>
    <n v="6.6"/>
    <s v="WhatsApp"/>
    <s v="Yes"/>
    <n v="5.6"/>
    <n v="6"/>
    <s v="Single"/>
    <n v="3"/>
    <n v="7"/>
    <s v="Whatsapp"/>
    <n v="1"/>
    <s v="5.6"/>
    <s v="OK"/>
    <b v="1"/>
    <s v="High"/>
    <s v="7"/>
    <n v="4.5"/>
    <b v="1"/>
  </r>
  <r>
    <n v="429"/>
    <n v="19"/>
    <s v="Female"/>
    <x v="0"/>
    <s v="France"/>
    <n v="3.5"/>
    <s v="Instagram"/>
    <s v="No"/>
    <n v="8.5"/>
    <n v="7"/>
    <s v="In Relationship"/>
    <n v="2"/>
    <n v="5"/>
    <s v="Instagram"/>
    <n v="1"/>
    <s v="8.5"/>
    <s v="OK"/>
    <s v="medium"/>
    <s v="Medium"/>
    <s v="5"/>
    <n v="4.5"/>
    <b v="1"/>
  </r>
  <r>
    <n v="430"/>
    <n v="21"/>
    <s v="Male"/>
    <x v="1"/>
    <s v="Canada"/>
    <n v="4.3"/>
    <s v="Instagram"/>
    <s v="Yes"/>
    <n v="7.9"/>
    <n v="6"/>
    <s v="Single"/>
    <n v="3"/>
    <n v="7"/>
    <s v="Instagram"/>
    <n v="1"/>
    <s v="7.9"/>
    <s v="OK"/>
    <b v="1"/>
    <s v="High"/>
    <s v="7"/>
    <n v="4.5"/>
    <b v="1"/>
  </r>
  <r>
    <n v="431"/>
    <n v="20"/>
    <s v="Female"/>
    <x v="0"/>
    <s v="Spain"/>
    <n v="4.0999999999999996"/>
    <s v="TikTok"/>
    <s v="Yes"/>
    <n v="7.8"/>
    <n v="6"/>
    <s v="Single"/>
    <n v="3"/>
    <n v="7"/>
    <s v="Tiktok"/>
    <n v="2"/>
    <s v="7.8"/>
    <s v="OK"/>
    <b v="1"/>
    <s v="High"/>
    <s v="7"/>
    <n v="4.5"/>
    <b v="1"/>
  </r>
  <r>
    <n v="432"/>
    <n v="22"/>
    <s v="Male"/>
    <x v="1"/>
    <s v="Denmark"/>
    <n v="2.9"/>
    <s v="Facebook"/>
    <s v="No"/>
    <n v="8.9"/>
    <n v="8"/>
    <s v="In Relationship"/>
    <n v="2"/>
    <n v="4"/>
    <s v="Facebook"/>
    <n v="0"/>
    <s v="8.9"/>
    <s v="OK"/>
    <s v="medium"/>
    <s v="Low"/>
    <s v="4"/>
    <n v="4.5"/>
    <b v="1"/>
  </r>
  <r>
    <n v="433"/>
    <n v="19"/>
    <s v="Female"/>
    <x v="0"/>
    <s v="Ireland"/>
    <n v="3.8"/>
    <s v="Instagram"/>
    <s v="Yes"/>
    <n v="8.1"/>
    <n v="7"/>
    <s v="Single"/>
    <n v="3"/>
    <n v="6"/>
    <s v="Instagram"/>
    <n v="1"/>
    <s v="8.1"/>
    <s v="OK"/>
    <s v="medium"/>
    <s v="Medium"/>
    <s v="6"/>
    <n v="4.5"/>
    <b v="1"/>
  </r>
  <r>
    <n v="434"/>
    <n v="21"/>
    <s v="Male"/>
    <x v="1"/>
    <s v="India"/>
    <n v="6.9"/>
    <s v="WhatsApp"/>
    <s v="Yes"/>
    <n v="5.4"/>
    <n v="5"/>
    <s v="In Relationship"/>
    <n v="4"/>
    <n v="8"/>
    <s v="Whatsapp"/>
    <n v="1"/>
    <s v="5.4"/>
    <s v="OK"/>
    <b v="1"/>
    <s v="High"/>
    <s v="8"/>
    <n v="4.5"/>
    <b v="1"/>
  </r>
  <r>
    <n v="435"/>
    <n v="20"/>
    <s v="Female"/>
    <x v="0"/>
    <s v="Switzerland"/>
    <n v="2.8"/>
    <s v="Instagram"/>
    <s v="No"/>
    <n v="9"/>
    <n v="8"/>
    <s v="Single"/>
    <n v="2"/>
    <n v="4"/>
    <s v="Instagram"/>
    <n v="1"/>
    <s v="9"/>
    <s v="OK"/>
    <s v="medium"/>
    <s v="Low"/>
    <s v="4"/>
    <n v="4.5"/>
    <b v="1"/>
  </r>
  <r>
    <n v="436"/>
    <n v="22"/>
    <s v="Male"/>
    <x v="1"/>
    <s v="Turkey"/>
    <n v="4.4000000000000004"/>
    <s v="TikTok"/>
    <s v="Yes"/>
    <n v="7.8"/>
    <n v="6"/>
    <s v="Single"/>
    <n v="3"/>
    <n v="7"/>
    <s v="Tiktok"/>
    <n v="2"/>
    <s v="7.8"/>
    <s v="OK"/>
    <b v="1"/>
    <s v="High"/>
    <s v="7"/>
    <n v="4.5"/>
    <b v="1"/>
  </r>
  <r>
    <n v="437"/>
    <n v="19"/>
    <s v="Female"/>
    <x v="0"/>
    <s v="USA"/>
    <n v="7.9"/>
    <s v="Instagram"/>
    <s v="Yes"/>
    <n v="4.4000000000000004"/>
    <n v="5"/>
    <s v="In Relationship"/>
    <n v="4"/>
    <n v="9"/>
    <s v="Instagram"/>
    <n v="1"/>
    <s v="4.4"/>
    <s v="LESS SLEEP"/>
    <b v="1"/>
    <s v="High"/>
    <s v="9"/>
    <n v="4.5"/>
    <b v="1"/>
  </r>
  <r>
    <n v="438"/>
    <n v="21"/>
    <s v="Male"/>
    <x v="1"/>
    <s v="Mexico"/>
    <n v="6.7"/>
    <s v="WhatsApp"/>
    <s v="Yes"/>
    <n v="5.5"/>
    <n v="6"/>
    <s v="Single"/>
    <n v="3"/>
    <n v="7"/>
    <s v="Whatsapp"/>
    <n v="1"/>
    <s v="5.5"/>
    <s v="OK"/>
    <b v="1"/>
    <s v="High"/>
    <s v="7"/>
    <n v="4.5"/>
    <b v="1"/>
  </r>
  <r>
    <n v="439"/>
    <n v="20"/>
    <s v="Female"/>
    <x v="0"/>
    <s v="France"/>
    <n v="3.4"/>
    <s v="Instagram"/>
    <s v="No"/>
    <n v="8.6"/>
    <n v="7"/>
    <s v="In Relationship"/>
    <n v="2"/>
    <n v="5"/>
    <s v="Instagram"/>
    <n v="1"/>
    <s v="8.6"/>
    <s v="OK"/>
    <s v="medium"/>
    <s v="Medium"/>
    <s v="5"/>
    <n v="4.5"/>
    <b v="1"/>
  </r>
  <r>
    <n v="440"/>
    <n v="22"/>
    <s v="Male"/>
    <x v="1"/>
    <s v="Canada"/>
    <n v="4.2"/>
    <s v="TikTok"/>
    <s v="Yes"/>
    <n v="8"/>
    <n v="6"/>
    <s v="Single"/>
    <n v="3"/>
    <n v="7"/>
    <s v="Tiktok"/>
    <n v="2"/>
    <s v="8"/>
    <s v="OK"/>
    <b v="1"/>
    <s v="High"/>
    <s v="7"/>
    <n v="4.5"/>
    <b v="1"/>
  </r>
  <r>
    <n v="441"/>
    <n v="19"/>
    <s v="Female"/>
    <x v="0"/>
    <s v="Spain"/>
    <n v="4"/>
    <s v="Instagram"/>
    <s v="Yes"/>
    <n v="7.9"/>
    <n v="6"/>
    <s v="Single"/>
    <n v="3"/>
    <n v="7"/>
    <s v="Instagram"/>
    <n v="1"/>
    <s v="7.9"/>
    <s v="OK"/>
    <b v="1"/>
    <s v="High"/>
    <s v="7"/>
    <n v="4.5"/>
    <b v="1"/>
  </r>
  <r>
    <n v="442"/>
    <n v="21"/>
    <s v="Male"/>
    <x v="1"/>
    <s v="Denmark"/>
    <n v="2.8"/>
    <s v="Facebook"/>
    <s v="No"/>
    <n v="9"/>
    <n v="8"/>
    <s v="In Relationship"/>
    <n v="2"/>
    <n v="4"/>
    <s v="Facebook"/>
    <n v="0"/>
    <s v="9"/>
    <s v="OK"/>
    <s v="medium"/>
    <s v="Low"/>
    <s v="4"/>
    <n v="4.5"/>
    <b v="1"/>
  </r>
  <r>
    <n v="443"/>
    <n v="20"/>
    <s v="Female"/>
    <x v="0"/>
    <s v="Ireland"/>
    <n v="3.7"/>
    <s v="TikTok"/>
    <s v="Yes"/>
    <n v="8.1999999999999993"/>
    <n v="7"/>
    <s v="Single"/>
    <n v="3"/>
    <n v="6"/>
    <s v="Tiktok"/>
    <n v="2"/>
    <s v="8.2"/>
    <s v="OK"/>
    <s v="medium"/>
    <s v="Medium"/>
    <s v="6"/>
    <n v="4.5"/>
    <b v="1"/>
  </r>
  <r>
    <n v="444"/>
    <n v="22"/>
    <s v="Male"/>
    <x v="1"/>
    <s v="India"/>
    <n v="7"/>
    <s v="WhatsApp"/>
    <s v="Yes"/>
    <n v="5.3"/>
    <n v="5"/>
    <s v="In Relationship"/>
    <n v="4"/>
    <n v="8"/>
    <s v="Whatsapp"/>
    <n v="1"/>
    <s v="5.3"/>
    <s v="OK"/>
    <b v="1"/>
    <s v="High"/>
    <s v="8"/>
    <n v="4.5"/>
    <b v="1"/>
  </r>
  <r>
    <n v="445"/>
    <n v="19"/>
    <s v="Female"/>
    <x v="0"/>
    <s v="Switzerland"/>
    <n v="2.7"/>
    <s v="Instagram"/>
    <s v="No"/>
    <n v="9.1"/>
    <n v="8"/>
    <s v="Single"/>
    <n v="2"/>
    <n v="4"/>
    <s v="Instagram"/>
    <n v="1"/>
    <s v="9.1"/>
    <s v="OK"/>
    <s v="medium"/>
    <s v="Low"/>
    <s v="4"/>
    <n v="4.5"/>
    <b v="1"/>
  </r>
  <r>
    <n v="446"/>
    <n v="21"/>
    <s v="Male"/>
    <x v="1"/>
    <s v="Turkey"/>
    <n v="4.3"/>
    <s v="Instagram"/>
    <s v="Yes"/>
    <n v="7.9"/>
    <n v="6"/>
    <s v="Single"/>
    <n v="3"/>
    <n v="7"/>
    <s v="Instagram"/>
    <n v="1"/>
    <s v="7.9"/>
    <s v="OK"/>
    <b v="1"/>
    <s v="High"/>
    <s v="7"/>
    <n v="4.5"/>
    <b v="1"/>
  </r>
  <r>
    <n v="447"/>
    <n v="20"/>
    <s v="Female"/>
    <x v="0"/>
    <s v="USA"/>
    <n v="8"/>
    <s v="TikTok"/>
    <s v="Yes"/>
    <n v="4.3"/>
    <n v="5"/>
    <s v="In Relationship"/>
    <n v="4"/>
    <n v="9"/>
    <s v="Tiktok"/>
    <n v="2"/>
    <s v="4.3"/>
    <s v="LESS SLEEP"/>
    <b v="1"/>
    <s v="High"/>
    <s v="9"/>
    <n v="4.4000000000000004"/>
    <b v="1"/>
  </r>
  <r>
    <n v="448"/>
    <n v="22"/>
    <s v="Male"/>
    <x v="1"/>
    <s v="Mexico"/>
    <n v="6.8"/>
    <s v="WhatsApp"/>
    <s v="Yes"/>
    <n v="5.4"/>
    <n v="6"/>
    <s v="Single"/>
    <n v="3"/>
    <n v="7"/>
    <s v="Whatsapp"/>
    <n v="1"/>
    <s v="5.4"/>
    <s v="OK"/>
    <b v="1"/>
    <s v="High"/>
    <s v="7"/>
    <n v="4.4000000000000004"/>
    <b v="1"/>
  </r>
  <r>
    <n v="449"/>
    <n v="19"/>
    <s v="Female"/>
    <x v="0"/>
    <s v="France"/>
    <n v="3.3"/>
    <s v="Instagram"/>
    <s v="No"/>
    <n v="8.6999999999999993"/>
    <n v="7"/>
    <s v="In Relationship"/>
    <n v="2"/>
    <n v="5"/>
    <s v="Instagram"/>
    <n v="1"/>
    <s v="8.7"/>
    <s v="OK"/>
    <s v="medium"/>
    <s v="Medium"/>
    <s v="5"/>
    <n v="4.4000000000000004"/>
    <b v="1"/>
  </r>
  <r>
    <n v="450"/>
    <n v="21"/>
    <s v="Male"/>
    <x v="1"/>
    <s v="Canada"/>
    <n v="4.0999999999999996"/>
    <s v="Instagram"/>
    <s v="Yes"/>
    <n v="8.1"/>
    <n v="6"/>
    <s v="Single"/>
    <n v="3"/>
    <n v="7"/>
    <s v="Instagram"/>
    <n v="1"/>
    <s v="8.1"/>
    <s v="OK"/>
    <b v="1"/>
    <s v="High"/>
    <s v="7"/>
    <n v="4.4000000000000004"/>
    <b v="1"/>
  </r>
  <r>
    <n v="451"/>
    <n v="20"/>
    <s v="Female"/>
    <x v="0"/>
    <s v="Spain"/>
    <n v="3.9"/>
    <s v="TikTok"/>
    <s v="Yes"/>
    <n v="8"/>
    <n v="6"/>
    <s v="Single"/>
    <n v="3"/>
    <n v="7"/>
    <s v="Tiktok"/>
    <n v="2"/>
    <s v="8"/>
    <s v="OK"/>
    <b v="1"/>
    <s v="High"/>
    <s v="7"/>
    <n v="4.4000000000000004"/>
    <b v="1"/>
  </r>
  <r>
    <n v="452"/>
    <n v="22"/>
    <s v="Male"/>
    <x v="1"/>
    <s v="Denmark"/>
    <n v="2.7"/>
    <s v="Facebook"/>
    <s v="No"/>
    <n v="9.1"/>
    <n v="8"/>
    <s v="In Relationship"/>
    <n v="2"/>
    <n v="4"/>
    <s v="Facebook"/>
    <n v="0"/>
    <s v="9.1"/>
    <s v="OK"/>
    <s v="medium"/>
    <s v="Low"/>
    <s v="4"/>
    <n v="4.4000000000000004"/>
    <b v="1"/>
  </r>
  <r>
    <n v="453"/>
    <n v="19"/>
    <s v="Female"/>
    <x v="0"/>
    <s v="Ireland"/>
    <n v="3.6"/>
    <s v="Instagram"/>
    <s v="Yes"/>
    <n v="8.3000000000000007"/>
    <n v="7"/>
    <s v="Single"/>
    <n v="3"/>
    <n v="6"/>
    <s v="Instagram"/>
    <n v="1"/>
    <s v="8.3"/>
    <s v="OK"/>
    <s v="medium"/>
    <s v="Medium"/>
    <s v="6"/>
    <n v="4.4000000000000004"/>
    <b v="1"/>
  </r>
  <r>
    <n v="454"/>
    <n v="21"/>
    <s v="Male"/>
    <x v="1"/>
    <s v="India"/>
    <n v="7.1"/>
    <s v="WhatsApp"/>
    <s v="Yes"/>
    <n v="5.2"/>
    <n v="5"/>
    <s v="In Relationship"/>
    <n v="4"/>
    <n v="8"/>
    <s v="Whatsapp"/>
    <n v="1"/>
    <s v="5.2"/>
    <s v="OK"/>
    <b v="1"/>
    <s v="High"/>
    <s v="8"/>
    <n v="4.4000000000000004"/>
    <b v="1"/>
  </r>
  <r>
    <n v="455"/>
    <n v="20"/>
    <s v="Female"/>
    <x v="0"/>
    <s v="Switzerland"/>
    <n v="2.6"/>
    <s v="Instagram"/>
    <s v="No"/>
    <n v="9.1999999999999993"/>
    <n v="8"/>
    <s v="Single"/>
    <n v="2"/>
    <n v="4"/>
    <s v="Instagram"/>
    <n v="1"/>
    <s v="9.2"/>
    <s v="OK"/>
    <s v="medium"/>
    <s v="Low"/>
    <s v="4"/>
    <n v="4.4000000000000004"/>
    <b v="1"/>
  </r>
  <r>
    <n v="456"/>
    <n v="22"/>
    <s v="Male"/>
    <x v="1"/>
    <s v="Turkey"/>
    <n v="4.2"/>
    <s v="TikTok"/>
    <s v="Yes"/>
    <n v="8"/>
    <n v="6"/>
    <s v="Single"/>
    <n v="3"/>
    <n v="7"/>
    <s v="Tiktok"/>
    <n v="2"/>
    <s v="8"/>
    <s v="OK"/>
    <b v="1"/>
    <s v="High"/>
    <s v="7"/>
    <n v="4.4000000000000004"/>
    <b v="1"/>
  </r>
  <r>
    <n v="457"/>
    <n v="19"/>
    <s v="Female"/>
    <x v="0"/>
    <s v="USA"/>
    <n v="8.1"/>
    <s v="Instagram"/>
    <s v="Yes"/>
    <n v="4.2"/>
    <n v="5"/>
    <s v="In Relationship"/>
    <n v="4"/>
    <n v="9"/>
    <s v="Instagram"/>
    <n v="1"/>
    <s v="4.2"/>
    <s v="LESS SLEEP"/>
    <b v="1"/>
    <s v="High"/>
    <s v="9"/>
    <n v="4.4000000000000004"/>
    <b v="1"/>
  </r>
  <r>
    <n v="458"/>
    <n v="21"/>
    <s v="Male"/>
    <x v="1"/>
    <s v="Mexico"/>
    <n v="6.9"/>
    <s v="WhatsApp"/>
    <s v="Yes"/>
    <n v="5.3"/>
    <n v="6"/>
    <s v="Single"/>
    <n v="3"/>
    <n v="7"/>
    <s v="Whatsapp"/>
    <n v="1"/>
    <s v="5.3"/>
    <s v="OK"/>
    <b v="1"/>
    <s v="High"/>
    <s v="7"/>
    <n v="4.4000000000000004"/>
    <b v="1"/>
  </r>
  <r>
    <n v="459"/>
    <n v="20"/>
    <s v="Female"/>
    <x v="0"/>
    <s v="France"/>
    <n v="3.2"/>
    <s v="Instagram"/>
    <s v="No"/>
    <n v="8.8000000000000007"/>
    <n v="7"/>
    <s v="In Relationship"/>
    <n v="2"/>
    <n v="5"/>
    <s v="Instagram"/>
    <n v="1"/>
    <s v="8.8"/>
    <s v="OK"/>
    <s v="medium"/>
    <s v="Medium"/>
    <s v="5"/>
    <n v="4.4000000000000004"/>
    <b v="1"/>
  </r>
  <r>
    <n v="460"/>
    <n v="22"/>
    <s v="Male"/>
    <x v="1"/>
    <s v="Canada"/>
    <n v="4"/>
    <s v="TikTok"/>
    <s v="Yes"/>
    <n v="8.1999999999999993"/>
    <n v="6"/>
    <s v="Single"/>
    <n v="3"/>
    <n v="7"/>
    <s v="Tiktok"/>
    <n v="2"/>
    <s v="8.2"/>
    <s v="OK"/>
    <b v="1"/>
    <s v="High"/>
    <s v="7"/>
    <n v="4.4000000000000004"/>
    <b v="1"/>
  </r>
  <r>
    <n v="461"/>
    <n v="19"/>
    <s v="Female"/>
    <x v="0"/>
    <s v="Spain"/>
    <n v="3.8"/>
    <s v="Instagram"/>
    <s v="Yes"/>
    <n v="8.1"/>
    <n v="6"/>
    <s v="Single"/>
    <n v="3"/>
    <n v="7"/>
    <s v="Instagram"/>
    <n v="1"/>
    <s v="8.1"/>
    <s v="OK"/>
    <b v="1"/>
    <s v="High"/>
    <s v="7"/>
    <n v="4.4000000000000004"/>
    <b v="1"/>
  </r>
  <r>
    <n v="462"/>
    <n v="21"/>
    <s v="Male"/>
    <x v="1"/>
    <s v="Denmark"/>
    <n v="2.6"/>
    <s v="Facebook"/>
    <s v="No"/>
    <n v="9.1999999999999993"/>
    <n v="8"/>
    <s v="In Relationship"/>
    <n v="2"/>
    <n v="4"/>
    <s v="Facebook"/>
    <n v="0"/>
    <s v="9.2"/>
    <s v="OK"/>
    <s v="medium"/>
    <s v="Low"/>
    <s v="4"/>
    <n v="4.4000000000000004"/>
    <b v="1"/>
  </r>
  <r>
    <n v="463"/>
    <n v="20"/>
    <s v="Female"/>
    <x v="0"/>
    <s v="Ireland"/>
    <n v="3.5"/>
    <s v="TikTok"/>
    <s v="Yes"/>
    <n v="8.4"/>
    <n v="7"/>
    <s v="Single"/>
    <n v="3"/>
    <n v="6"/>
    <s v="Tiktok"/>
    <n v="2"/>
    <s v="8.4"/>
    <s v="OK"/>
    <s v="medium"/>
    <s v="Medium"/>
    <s v="6"/>
    <n v="4.4000000000000004"/>
    <b v="1"/>
  </r>
  <r>
    <n v="464"/>
    <n v="22"/>
    <s v="Male"/>
    <x v="1"/>
    <s v="India"/>
    <n v="7.2"/>
    <s v="WhatsApp"/>
    <s v="Yes"/>
    <n v="5.0999999999999996"/>
    <n v="5"/>
    <s v="In Relationship"/>
    <n v="4"/>
    <n v="8"/>
    <s v="Whatsapp"/>
    <n v="1"/>
    <s v="5.1"/>
    <s v="OK"/>
    <b v="1"/>
    <s v="High"/>
    <s v="8"/>
    <n v="4.4000000000000004"/>
    <b v="1"/>
  </r>
  <r>
    <n v="465"/>
    <n v="19"/>
    <s v="Female"/>
    <x v="0"/>
    <s v="Switzerland"/>
    <n v="2.5"/>
    <s v="Instagram"/>
    <s v="No"/>
    <n v="9.3000000000000007"/>
    <n v="8"/>
    <s v="Single"/>
    <n v="2"/>
    <n v="4"/>
    <s v="Instagram"/>
    <n v="1"/>
    <s v="9.3"/>
    <s v="OK"/>
    <s v="medium"/>
    <s v="Low"/>
    <s v="4"/>
    <n v="4.4000000000000004"/>
    <b v="1"/>
  </r>
  <r>
    <n v="466"/>
    <n v="21"/>
    <s v="Male"/>
    <x v="1"/>
    <s v="Turkey"/>
    <n v="4.0999999999999996"/>
    <s v="Instagram"/>
    <s v="Yes"/>
    <n v="8.1"/>
    <n v="6"/>
    <s v="Single"/>
    <n v="3"/>
    <n v="7"/>
    <s v="Instagram"/>
    <n v="1"/>
    <s v="8.1"/>
    <s v="OK"/>
    <b v="1"/>
    <s v="High"/>
    <s v="7"/>
    <n v="4.4000000000000004"/>
    <b v="1"/>
  </r>
  <r>
    <n v="467"/>
    <n v="20"/>
    <s v="Female"/>
    <x v="0"/>
    <s v="USA"/>
    <n v="8.1999999999999993"/>
    <s v="TikTok"/>
    <s v="Yes"/>
    <n v="4.0999999999999996"/>
    <n v="5"/>
    <s v="In Relationship"/>
    <n v="4"/>
    <n v="9"/>
    <s v="Tiktok"/>
    <n v="2"/>
    <s v="4.1"/>
    <s v="LESS SLEEP"/>
    <b v="1"/>
    <s v="High"/>
    <s v="9"/>
    <n v="4.4000000000000004"/>
    <b v="1"/>
  </r>
  <r>
    <n v="468"/>
    <n v="22"/>
    <s v="Male"/>
    <x v="1"/>
    <s v="Mexico"/>
    <n v="7"/>
    <s v="WhatsApp"/>
    <s v="Yes"/>
    <n v="5.2"/>
    <n v="6"/>
    <s v="Single"/>
    <n v="3"/>
    <n v="7"/>
    <s v="Whatsapp"/>
    <n v="1"/>
    <s v="5.2"/>
    <s v="OK"/>
    <b v="1"/>
    <s v="High"/>
    <s v="7"/>
    <n v="4.4000000000000004"/>
    <b v="1"/>
  </r>
  <r>
    <n v="469"/>
    <n v="19"/>
    <s v="Female"/>
    <x v="0"/>
    <s v="France"/>
    <n v="3.1"/>
    <s v="Instagram"/>
    <s v="No"/>
    <n v="8.9"/>
    <n v="7"/>
    <s v="In Relationship"/>
    <n v="2"/>
    <n v="5"/>
    <s v="Instagram"/>
    <n v="1"/>
    <s v="8.9"/>
    <s v="OK"/>
    <s v="medium"/>
    <s v="Medium"/>
    <s v="5"/>
    <n v="4.4000000000000004"/>
    <b v="1"/>
  </r>
  <r>
    <n v="470"/>
    <n v="21"/>
    <s v="Male"/>
    <x v="1"/>
    <s v="Canada"/>
    <n v="3.9"/>
    <s v="Instagram"/>
    <s v="Yes"/>
    <n v="8.3000000000000007"/>
    <n v="6"/>
    <s v="Single"/>
    <n v="3"/>
    <n v="7"/>
    <s v="Instagram"/>
    <n v="1"/>
    <s v="8.3"/>
    <s v="OK"/>
    <b v="1"/>
    <s v="High"/>
    <s v="7"/>
    <n v="4.4000000000000004"/>
    <b v="1"/>
  </r>
  <r>
    <n v="471"/>
    <n v="20"/>
    <s v="Female"/>
    <x v="0"/>
    <s v="Spain"/>
    <n v="3.7"/>
    <s v="TikTok"/>
    <s v="Yes"/>
    <n v="8.1999999999999993"/>
    <n v="6"/>
    <s v="Single"/>
    <n v="3"/>
    <n v="7"/>
    <s v="Tiktok"/>
    <n v="2"/>
    <s v="8.2"/>
    <s v="OK"/>
    <b v="1"/>
    <s v="High"/>
    <s v="7"/>
    <n v="4.4000000000000004"/>
    <b v="1"/>
  </r>
  <r>
    <n v="472"/>
    <n v="22"/>
    <s v="Male"/>
    <x v="1"/>
    <s v="Denmark"/>
    <n v="2.5"/>
    <s v="Facebook"/>
    <s v="No"/>
    <n v="9.3000000000000007"/>
    <n v="8"/>
    <s v="In Relationship"/>
    <n v="2"/>
    <n v="4"/>
    <s v="Facebook"/>
    <n v="0"/>
    <s v="9.3"/>
    <s v="OK"/>
    <s v="medium"/>
    <s v="Low"/>
    <s v="4"/>
    <n v="4.4000000000000004"/>
    <b v="1"/>
  </r>
  <r>
    <n v="473"/>
    <n v="19"/>
    <s v="Female"/>
    <x v="0"/>
    <s v="Ireland"/>
    <n v="3.4"/>
    <s v="Instagram"/>
    <s v="Yes"/>
    <n v="8.5"/>
    <n v="7"/>
    <s v="Single"/>
    <n v="3"/>
    <n v="6"/>
    <s v="Instagram"/>
    <n v="1"/>
    <s v="8.5"/>
    <s v="OK"/>
    <s v="medium"/>
    <s v="Medium"/>
    <s v="6"/>
    <n v="4.4000000000000004"/>
    <b v="1"/>
  </r>
  <r>
    <n v="474"/>
    <n v="21"/>
    <s v="Male"/>
    <x v="1"/>
    <s v="India"/>
    <n v="7.3"/>
    <s v="WhatsApp"/>
    <s v="Yes"/>
    <n v="5"/>
    <n v="5"/>
    <s v="In Relationship"/>
    <n v="4"/>
    <n v="8"/>
    <s v="Whatsapp"/>
    <n v="1"/>
    <s v="5"/>
    <s v="OK"/>
    <b v="1"/>
    <s v="High"/>
    <s v="8"/>
    <n v="4.3"/>
    <b v="1"/>
  </r>
  <r>
    <n v="475"/>
    <n v="20"/>
    <s v="Female"/>
    <x v="0"/>
    <s v="Switzerland"/>
    <n v="2.4"/>
    <s v="Instagram"/>
    <s v="No"/>
    <n v="9.4"/>
    <n v="8"/>
    <s v="Single"/>
    <n v="2"/>
    <n v="4"/>
    <s v="Instagram"/>
    <n v="1"/>
    <s v="9.4"/>
    <s v="OK"/>
    <s v="medium"/>
    <s v="Low"/>
    <s v="4"/>
    <n v="4.3"/>
    <b v="1"/>
  </r>
  <r>
    <n v="476"/>
    <n v="22"/>
    <s v="Male"/>
    <x v="1"/>
    <s v="Turkey"/>
    <n v="4"/>
    <s v="TikTok"/>
    <s v="Yes"/>
    <n v="8.1999999999999993"/>
    <n v="6"/>
    <s v="Single"/>
    <n v="3"/>
    <n v="7"/>
    <s v="Tiktok"/>
    <n v="2"/>
    <s v="8.2"/>
    <s v="OK"/>
    <b v="1"/>
    <s v="High"/>
    <s v="7"/>
    <n v="4.3"/>
    <b v="1"/>
  </r>
  <r>
    <n v="477"/>
    <n v="19"/>
    <s v="Female"/>
    <x v="0"/>
    <s v="USA"/>
    <n v="8.3000000000000007"/>
    <s v="Instagram"/>
    <s v="Yes"/>
    <n v="4"/>
    <n v="5"/>
    <s v="In Relationship"/>
    <n v="4"/>
    <n v="9"/>
    <s v="Instagram"/>
    <n v="1"/>
    <s v="4"/>
    <s v="LESS SLEEP"/>
    <b v="1"/>
    <s v="High"/>
    <s v="9"/>
    <n v="4.3"/>
    <b v="1"/>
  </r>
  <r>
    <n v="478"/>
    <n v="21"/>
    <s v="Male"/>
    <x v="1"/>
    <s v="Mexico"/>
    <n v="7.1"/>
    <s v="WhatsApp"/>
    <s v="Yes"/>
    <n v="5.0999999999999996"/>
    <n v="6"/>
    <s v="Single"/>
    <n v="3"/>
    <n v="7"/>
    <s v="Whatsapp"/>
    <n v="1"/>
    <s v="5.1"/>
    <s v="OK"/>
    <b v="1"/>
    <s v="High"/>
    <s v="7"/>
    <n v="4.3"/>
    <b v="1"/>
  </r>
  <r>
    <n v="479"/>
    <n v="20"/>
    <s v="Female"/>
    <x v="0"/>
    <s v="France"/>
    <n v="3"/>
    <s v="Instagram"/>
    <s v="No"/>
    <n v="9"/>
    <n v="7"/>
    <s v="In Relationship"/>
    <n v="2"/>
    <n v="5"/>
    <s v="Instagram"/>
    <n v="1"/>
    <s v="9"/>
    <s v="OK"/>
    <s v="medium"/>
    <s v="Medium"/>
    <s v="5"/>
    <n v="4.3"/>
    <b v="1"/>
  </r>
  <r>
    <n v="480"/>
    <n v="22"/>
    <s v="Male"/>
    <x v="1"/>
    <s v="Canada"/>
    <n v="3.8"/>
    <s v="TikTok"/>
    <s v="Yes"/>
    <n v="8.4"/>
    <n v="6"/>
    <s v="Single"/>
    <n v="3"/>
    <n v="7"/>
    <s v="Tiktok"/>
    <n v="2"/>
    <s v="8.4"/>
    <s v="OK"/>
    <b v="1"/>
    <s v="High"/>
    <s v="7"/>
    <n v="4.3"/>
    <b v="1"/>
  </r>
  <r>
    <n v="481"/>
    <n v="19"/>
    <s v="Female"/>
    <x v="0"/>
    <s v="Spain"/>
    <n v="3.6"/>
    <s v="Instagram"/>
    <s v="Yes"/>
    <n v="8.3000000000000007"/>
    <n v="6"/>
    <s v="Single"/>
    <n v="3"/>
    <n v="7"/>
    <s v="Instagram"/>
    <n v="1"/>
    <s v="8.3"/>
    <s v="OK"/>
    <b v="1"/>
    <s v="High"/>
    <s v="7"/>
    <n v="4.3"/>
    <b v="1"/>
  </r>
  <r>
    <n v="482"/>
    <n v="21"/>
    <s v="Male"/>
    <x v="1"/>
    <s v="Denmark"/>
    <n v="2.4"/>
    <s v="Facebook"/>
    <s v="No"/>
    <n v="9.4"/>
    <n v="8"/>
    <s v="In Relationship"/>
    <n v="2"/>
    <n v="4"/>
    <s v="Facebook"/>
    <n v="0"/>
    <s v="9.4"/>
    <s v="OK"/>
    <s v="medium"/>
    <s v="Low"/>
    <s v="4"/>
    <n v="4.3"/>
    <b v="1"/>
  </r>
  <r>
    <n v="483"/>
    <n v="20"/>
    <s v="Female"/>
    <x v="0"/>
    <s v="Ireland"/>
    <n v="3.3"/>
    <s v="TikTok"/>
    <s v="Yes"/>
    <n v="8.6"/>
    <n v="7"/>
    <s v="Single"/>
    <n v="3"/>
    <n v="6"/>
    <s v="Tiktok"/>
    <n v="2"/>
    <s v="8.6"/>
    <s v="OK"/>
    <s v="medium"/>
    <s v="Medium"/>
    <s v="6"/>
    <n v="4.3"/>
    <b v="1"/>
  </r>
  <r>
    <n v="484"/>
    <n v="22"/>
    <s v="Male"/>
    <x v="1"/>
    <s v="India"/>
    <n v="7.4"/>
    <s v="WhatsApp"/>
    <s v="Yes"/>
    <n v="4.9000000000000004"/>
    <n v="5"/>
    <s v="In Relationship"/>
    <n v="4"/>
    <n v="8"/>
    <s v="Whatsapp"/>
    <n v="1"/>
    <s v="4.9"/>
    <s v="LESS SLEEP"/>
    <b v="1"/>
    <s v="High"/>
    <s v="8"/>
    <n v="4.3"/>
    <b v="1"/>
  </r>
  <r>
    <n v="485"/>
    <n v="19"/>
    <s v="Female"/>
    <x v="0"/>
    <s v="Switzerland"/>
    <n v="2.2999999999999998"/>
    <s v="Instagram"/>
    <s v="No"/>
    <n v="9.5"/>
    <n v="8"/>
    <s v="Single"/>
    <n v="2"/>
    <n v="4"/>
    <s v="Instagram"/>
    <n v="1"/>
    <s v="9.5"/>
    <s v="OK"/>
    <s v="medium"/>
    <s v="Low"/>
    <s v="4"/>
    <n v="4.3"/>
    <b v="1"/>
  </r>
  <r>
    <n v="486"/>
    <n v="21"/>
    <s v="Male"/>
    <x v="1"/>
    <s v="Turkey"/>
    <n v="3.9"/>
    <s v="Instagram"/>
    <s v="Yes"/>
    <n v="8.3000000000000007"/>
    <n v="6"/>
    <s v="Single"/>
    <n v="3"/>
    <n v="7"/>
    <s v="Instagram"/>
    <n v="1"/>
    <s v="8.3"/>
    <s v="OK"/>
    <b v="1"/>
    <s v="High"/>
    <s v="7"/>
    <n v="4.3"/>
    <b v="1"/>
  </r>
  <r>
    <n v="487"/>
    <n v="20"/>
    <s v="Female"/>
    <x v="0"/>
    <s v="USA"/>
    <n v="8.4"/>
    <s v="TikTok"/>
    <s v="Yes"/>
    <n v="3.9"/>
    <n v="5"/>
    <s v="In Relationship"/>
    <n v="4"/>
    <n v="9"/>
    <s v="Tiktok"/>
    <n v="2"/>
    <s v="3.9"/>
    <s v="LESS SLEEP"/>
    <b v="1"/>
    <s v="High"/>
    <s v="9"/>
    <n v="4.3"/>
    <b v="1"/>
  </r>
  <r>
    <n v="488"/>
    <n v="22"/>
    <s v="Male"/>
    <x v="1"/>
    <s v="Mexico"/>
    <n v="7.2"/>
    <s v="WhatsApp"/>
    <s v="Yes"/>
    <n v="5"/>
    <n v="6"/>
    <s v="Single"/>
    <n v="3"/>
    <n v="7"/>
    <s v="Whatsapp"/>
    <n v="1"/>
    <s v="5"/>
    <s v="OK"/>
    <b v="1"/>
    <s v="High"/>
    <s v="7"/>
    <n v="4.3"/>
    <b v="1"/>
  </r>
  <r>
    <n v="489"/>
    <n v="19"/>
    <s v="Female"/>
    <x v="0"/>
    <s v="France"/>
    <n v="2.9"/>
    <s v="Instagram"/>
    <s v="No"/>
    <n v="9.1"/>
    <n v="7"/>
    <s v="In Relationship"/>
    <n v="2"/>
    <n v="5"/>
    <s v="Instagram"/>
    <n v="1"/>
    <s v="9.1"/>
    <s v="OK"/>
    <s v="medium"/>
    <s v="Medium"/>
    <s v="5"/>
    <n v="4.3"/>
    <b v="1"/>
  </r>
  <r>
    <n v="490"/>
    <n v="21"/>
    <s v="Male"/>
    <x v="1"/>
    <s v="Canada"/>
    <n v="3.7"/>
    <s v="Instagram"/>
    <s v="Yes"/>
    <n v="8.5"/>
    <n v="6"/>
    <s v="Single"/>
    <n v="3"/>
    <n v="7"/>
    <s v="Instagram"/>
    <n v="1"/>
    <s v="8.5"/>
    <s v="OK"/>
    <b v="1"/>
    <s v="High"/>
    <s v="7"/>
    <n v="4.3"/>
    <b v="1"/>
  </r>
  <r>
    <n v="491"/>
    <n v="20"/>
    <s v="Female"/>
    <x v="0"/>
    <s v="Spain"/>
    <n v="3.5"/>
    <s v="TikTok"/>
    <s v="Yes"/>
    <n v="8.4"/>
    <n v="6"/>
    <s v="Single"/>
    <n v="3"/>
    <n v="7"/>
    <s v="Tiktok"/>
    <n v="2"/>
    <s v="8.4"/>
    <s v="OK"/>
    <b v="1"/>
    <s v="High"/>
    <s v="7"/>
    <n v="4.3"/>
    <b v="1"/>
  </r>
  <r>
    <n v="492"/>
    <n v="22"/>
    <s v="Male"/>
    <x v="1"/>
    <s v="Denmark"/>
    <n v="2.2999999999999998"/>
    <s v="Facebook"/>
    <s v="No"/>
    <n v="9.5"/>
    <n v="8"/>
    <s v="In Relationship"/>
    <n v="2"/>
    <n v="4"/>
    <s v="Facebook"/>
    <n v="0"/>
    <s v="9.5"/>
    <s v="OK"/>
    <s v="medium"/>
    <s v="Low"/>
    <s v="4"/>
    <n v="4.3"/>
    <b v="1"/>
  </r>
  <r>
    <n v="493"/>
    <n v="19"/>
    <s v="Female"/>
    <x v="0"/>
    <s v="Ireland"/>
    <n v="3.2"/>
    <s v="Instagram"/>
    <s v="Yes"/>
    <n v="8.6999999999999993"/>
    <n v="7"/>
    <s v="Single"/>
    <n v="3"/>
    <n v="6"/>
    <s v="Instagram"/>
    <n v="1"/>
    <s v="8.7"/>
    <s v="OK"/>
    <s v="medium"/>
    <s v="Medium"/>
    <s v="6"/>
    <n v="4.3"/>
    <b v="1"/>
  </r>
  <r>
    <n v="494"/>
    <n v="21"/>
    <s v="Male"/>
    <x v="1"/>
    <s v="India"/>
    <n v="7.5"/>
    <s v="WhatsApp"/>
    <s v="Yes"/>
    <n v="4.8"/>
    <n v="5"/>
    <s v="In Relationship"/>
    <n v="4"/>
    <n v="8"/>
    <s v="Whatsapp"/>
    <n v="1"/>
    <s v="4.8"/>
    <s v="LESS SLEEP"/>
    <b v="1"/>
    <s v="High"/>
    <s v="8"/>
    <n v="4.3"/>
    <b v="1"/>
  </r>
  <r>
    <n v="495"/>
    <n v="20"/>
    <s v="Female"/>
    <x v="0"/>
    <s v="Switzerland"/>
    <n v="2.2000000000000002"/>
    <s v="Instagram"/>
    <s v="No"/>
    <n v="9.6"/>
    <n v="8"/>
    <s v="Single"/>
    <n v="2"/>
    <n v="4"/>
    <s v="Instagram"/>
    <n v="1"/>
    <s v="9.6"/>
    <s v="OK"/>
    <s v="medium"/>
    <s v="Low"/>
    <s v="4"/>
    <n v="4.3"/>
    <b v="1"/>
  </r>
  <r>
    <n v="496"/>
    <n v="22"/>
    <s v="Male"/>
    <x v="1"/>
    <s v="Turkey"/>
    <n v="3.8"/>
    <s v="TikTok"/>
    <s v="Yes"/>
    <n v="8.4"/>
    <n v="6"/>
    <s v="Single"/>
    <n v="3"/>
    <n v="7"/>
    <s v="Tiktok"/>
    <n v="2"/>
    <s v="8.4"/>
    <s v="OK"/>
    <b v="1"/>
    <s v="High"/>
    <s v="7"/>
    <n v="4.3"/>
    <b v="1"/>
  </r>
  <r>
    <n v="497"/>
    <n v="19"/>
    <s v="Female"/>
    <x v="0"/>
    <s v="USA"/>
    <n v="8.5"/>
    <s v="Instagram"/>
    <s v="Yes"/>
    <n v="3.8"/>
    <n v="5"/>
    <s v="In Relationship"/>
    <n v="4"/>
    <n v="9"/>
    <s v="Instagram"/>
    <n v="1"/>
    <s v="3.8"/>
    <s v="LESS SLEEP"/>
    <b v="1"/>
    <s v="High"/>
    <s v="9"/>
    <n v="4.2"/>
    <b v="1"/>
  </r>
  <r>
    <n v="498"/>
    <n v="21"/>
    <s v="Male"/>
    <x v="1"/>
    <s v="Mexico"/>
    <n v="7.3"/>
    <s v="WhatsApp"/>
    <s v="Yes"/>
    <n v="4.9000000000000004"/>
    <n v="6"/>
    <s v="Single"/>
    <n v="3"/>
    <n v="7"/>
    <s v="Whatsapp"/>
    <n v="1"/>
    <s v="4.9"/>
    <s v="LESS SLEEP"/>
    <b v="1"/>
    <s v="High"/>
    <s v="7"/>
    <n v="4.2"/>
    <b v="1"/>
  </r>
  <r>
    <n v="499"/>
    <n v="20"/>
    <s v="Female"/>
    <x v="0"/>
    <s v="France"/>
    <n v="2.8"/>
    <s v="Instagram"/>
    <s v="No"/>
    <n v="9.1999999999999993"/>
    <n v="7"/>
    <s v="In Relationship"/>
    <n v="2"/>
    <n v="5"/>
    <s v="Instagram"/>
    <n v="1"/>
    <s v="9.2"/>
    <s v="OK"/>
    <s v="medium"/>
    <s v="Medium"/>
    <s v="5"/>
    <n v="4.2"/>
    <b v="1"/>
  </r>
  <r>
    <n v="500"/>
    <n v="22"/>
    <s v="Male"/>
    <x v="1"/>
    <s v="Canada"/>
    <n v="3.6"/>
    <s v="TikTok"/>
    <s v="Yes"/>
    <n v="8.6"/>
    <n v="6"/>
    <s v="Single"/>
    <n v="3"/>
    <n v="7"/>
    <s v="Tiktok"/>
    <n v="2"/>
    <s v="8.6"/>
    <s v="OK"/>
    <b v="1"/>
    <s v="High"/>
    <s v="7"/>
    <n v="4.2"/>
    <b v="1"/>
  </r>
  <r>
    <n v="501"/>
    <n v="19"/>
    <s v="Female"/>
    <x v="0"/>
    <s v="Brazil"/>
    <n v="6.2"/>
    <s v="WhatsApp"/>
    <s v="Yes"/>
    <n v="6.3"/>
    <n v="6"/>
    <s v="Single"/>
    <n v="3"/>
    <n v="7"/>
    <s v="Whatsapp"/>
    <n v="1"/>
    <s v="6.3"/>
    <s v="OK"/>
    <b v="1"/>
    <s v="High"/>
    <s v="7"/>
    <n v="4.2"/>
    <b v="1"/>
  </r>
  <r>
    <n v="502"/>
    <n v="21"/>
    <s v="Male"/>
    <x v="1"/>
    <s v="China"/>
    <n v="4.5"/>
    <s v="WeChat"/>
    <s v="No"/>
    <n v="7.8"/>
    <n v="7"/>
    <s v="In Relationship"/>
    <n v="2"/>
    <n v="5"/>
    <s v="Wechat"/>
    <n v="1"/>
    <s v="7.8"/>
    <s v="OK"/>
    <s v="medium"/>
    <s v="Medium"/>
    <s v="5"/>
    <n v="4.2"/>
    <b v="1"/>
  </r>
  <r>
    <n v="503"/>
    <n v="20"/>
    <s v="Female"/>
    <x v="0"/>
    <s v="Netherlands"/>
    <n v="3.8"/>
    <s v="Instagram"/>
    <s v="No"/>
    <n v="8.1999999999999993"/>
    <n v="8"/>
    <s v="Single"/>
    <n v="2"/>
    <n v="4"/>
    <s v="Instagram"/>
    <n v="1"/>
    <s v="8.2"/>
    <s v="OK"/>
    <s v="medium"/>
    <s v="Low"/>
    <s v="4"/>
    <n v="4.2"/>
    <b v="1"/>
  </r>
  <r>
    <n v="504"/>
    <n v="22"/>
    <s v="Male"/>
    <x v="1"/>
    <s v="New Zealand"/>
    <n v="4.7"/>
    <s v="Instagram"/>
    <s v="Yes"/>
    <n v="7.5"/>
    <n v="7"/>
    <s v="In Relationship"/>
    <n v="3"/>
    <n v="6"/>
    <s v="Instagram"/>
    <n v="1"/>
    <s v="7.5"/>
    <s v="OK"/>
    <s v="medium"/>
    <s v="Medium"/>
    <s v="6"/>
    <n v="4.2"/>
    <b v="1"/>
  </r>
  <r>
    <n v="505"/>
    <n v="19"/>
    <s v="Female"/>
    <x v="0"/>
    <s v="Singapore"/>
    <n v="5.0999999999999996"/>
    <s v="TikTok"/>
    <s v="Yes"/>
    <n v="7"/>
    <n v="6"/>
    <s v="Single"/>
    <n v="3"/>
    <n v="7"/>
    <s v="Tiktok"/>
    <n v="2"/>
    <s v="7"/>
    <s v="OK"/>
    <b v="1"/>
    <s v="High"/>
    <s v="7"/>
    <n v="4.2"/>
    <b v="1"/>
  </r>
  <r>
    <n v="506"/>
    <n v="21"/>
    <s v="Male"/>
    <x v="1"/>
    <s v="Malaysia"/>
    <n v="5.5"/>
    <s v="WhatsApp"/>
    <s v="Yes"/>
    <n v="6.8"/>
    <n v="6"/>
    <s v="Single"/>
    <n v="3"/>
    <n v="7"/>
    <s v="Whatsapp"/>
    <n v="1"/>
    <s v="6.8"/>
    <s v="OK"/>
    <b v="1"/>
    <s v="High"/>
    <s v="7"/>
    <n v="4.2"/>
    <b v="1"/>
  </r>
  <r>
    <n v="507"/>
    <n v="20"/>
    <s v="Female"/>
    <x v="0"/>
    <s v="UAE"/>
    <n v="6.5"/>
    <s v="Instagram"/>
    <s v="Yes"/>
    <n v="6.5"/>
    <n v="5"/>
    <s v="In Relationship"/>
    <n v="4"/>
    <n v="8"/>
    <s v="Instagram"/>
    <n v="1"/>
    <s v="6.5"/>
    <s v="OK"/>
    <b v="1"/>
    <s v="High"/>
    <s v="8"/>
    <n v="4.2"/>
    <b v="1"/>
  </r>
  <r>
    <n v="508"/>
    <n v="22"/>
    <s v="Male"/>
    <x v="1"/>
    <s v="Poland"/>
    <n v="4.2"/>
    <s v="Facebook"/>
    <s v="No"/>
    <n v="7.9"/>
    <n v="7"/>
    <s v="Single"/>
    <n v="2"/>
    <n v="5"/>
    <s v="Facebook"/>
    <n v="0"/>
    <s v="7.9"/>
    <s v="OK"/>
    <s v="medium"/>
    <s v="Medium"/>
    <s v="5"/>
    <n v="4.2"/>
    <b v="1"/>
  </r>
  <r>
    <n v="509"/>
    <n v="19"/>
    <s v="Female"/>
    <x v="0"/>
    <s v="India"/>
    <n v="6.8"/>
    <s v="WhatsApp"/>
    <s v="Yes"/>
    <n v="6"/>
    <n v="5"/>
    <s v="In Relationship"/>
    <n v="4"/>
    <n v="8"/>
    <s v="Whatsapp"/>
    <n v="1"/>
    <s v="6"/>
    <s v="OK"/>
    <b v="1"/>
    <s v="High"/>
    <s v="8"/>
    <n v="4.2"/>
    <b v="1"/>
  </r>
  <r>
    <n v="510"/>
    <n v="21"/>
    <s v="Male"/>
    <x v="1"/>
    <s v="Canada"/>
    <n v="4.8"/>
    <s v="Instagram"/>
    <s v="Yes"/>
    <n v="7.4"/>
    <n v="7"/>
    <s v="Single"/>
    <n v="3"/>
    <n v="6"/>
    <s v="Instagram"/>
    <n v="1"/>
    <s v="7.4"/>
    <s v="OK"/>
    <s v="medium"/>
    <s v="Medium"/>
    <s v="6"/>
    <n v="4.2"/>
    <b v="1"/>
  </r>
  <r>
    <n v="511"/>
    <n v="20"/>
    <s v="Female"/>
    <x v="0"/>
    <s v="Brazil"/>
    <n v="6.1"/>
    <s v="Instagram"/>
    <s v="Yes"/>
    <n v="6.4"/>
    <n v="6"/>
    <s v="Single"/>
    <n v="3"/>
    <n v="7"/>
    <s v="Instagram"/>
    <n v="1"/>
    <s v="6.4"/>
    <s v="OK"/>
    <b v="1"/>
    <s v="High"/>
    <s v="7"/>
    <n v="4.2"/>
    <b v="1"/>
  </r>
  <r>
    <n v="512"/>
    <n v="22"/>
    <s v="Male"/>
    <x v="1"/>
    <s v="China"/>
    <n v="4.4000000000000004"/>
    <s v="WeChat"/>
    <s v="No"/>
    <n v="7.9"/>
    <n v="7"/>
    <s v="In Relationship"/>
    <n v="2"/>
    <n v="5"/>
    <s v="Wechat"/>
    <n v="1"/>
    <s v="7.9"/>
    <s v="OK"/>
    <s v="medium"/>
    <s v="Medium"/>
    <s v="5"/>
    <n v="4.2"/>
    <b v="1"/>
  </r>
  <r>
    <n v="513"/>
    <n v="19"/>
    <s v="Female"/>
    <x v="0"/>
    <s v="Netherlands"/>
    <n v="3.7"/>
    <s v="TikTok"/>
    <s v="No"/>
    <n v="8.3000000000000007"/>
    <n v="8"/>
    <s v="Single"/>
    <n v="2"/>
    <n v="4"/>
    <s v="Tiktok"/>
    <n v="2"/>
    <s v="8.3"/>
    <s v="OK"/>
    <s v="medium"/>
    <s v="Low"/>
    <s v="4"/>
    <n v="4.2"/>
    <b v="1"/>
  </r>
  <r>
    <n v="514"/>
    <n v="21"/>
    <s v="Male"/>
    <x v="1"/>
    <s v="New Zealand"/>
    <n v="4.5999999999999996"/>
    <s v="Instagram"/>
    <s v="Yes"/>
    <n v="7.6"/>
    <n v="7"/>
    <s v="In Relationship"/>
    <n v="3"/>
    <n v="6"/>
    <s v="Instagram"/>
    <n v="1"/>
    <s v="7.6"/>
    <s v="OK"/>
    <s v="medium"/>
    <s v="Medium"/>
    <s v="6"/>
    <n v="4.2"/>
    <b v="1"/>
  </r>
  <r>
    <n v="515"/>
    <n v="20"/>
    <s v="Female"/>
    <x v="0"/>
    <s v="Singapore"/>
    <n v="5.2"/>
    <s v="TikTok"/>
    <s v="Yes"/>
    <n v="6.9"/>
    <n v="6"/>
    <s v="Single"/>
    <n v="3"/>
    <n v="7"/>
    <s v="Tiktok"/>
    <n v="2"/>
    <s v="6.9"/>
    <s v="OK"/>
    <b v="1"/>
    <s v="High"/>
    <s v="7"/>
    <n v="4.2"/>
    <b v="1"/>
  </r>
  <r>
    <n v="516"/>
    <n v="22"/>
    <s v="Male"/>
    <x v="1"/>
    <s v="Malaysia"/>
    <n v="5.6"/>
    <s v="WhatsApp"/>
    <s v="Yes"/>
    <n v="6.7"/>
    <n v="6"/>
    <s v="Single"/>
    <n v="3"/>
    <n v="7"/>
    <s v="Whatsapp"/>
    <n v="1"/>
    <s v="6.7"/>
    <s v="OK"/>
    <b v="1"/>
    <s v="High"/>
    <s v="7"/>
    <n v="4.2"/>
    <b v="1"/>
  </r>
  <r>
    <n v="517"/>
    <n v="19"/>
    <s v="Female"/>
    <x v="0"/>
    <s v="UAE"/>
    <n v="6.6"/>
    <s v="Instagram"/>
    <s v="Yes"/>
    <n v="6.4"/>
    <n v="5"/>
    <s v="In Relationship"/>
    <n v="4"/>
    <n v="8"/>
    <s v="Instagram"/>
    <n v="1"/>
    <s v="6.4"/>
    <s v="OK"/>
    <b v="1"/>
    <s v="High"/>
    <s v="8"/>
    <n v="4.2"/>
    <b v="1"/>
  </r>
  <r>
    <n v="518"/>
    <n v="21"/>
    <s v="Male"/>
    <x v="1"/>
    <s v="Poland"/>
    <n v="4.0999999999999996"/>
    <s v="Facebook"/>
    <s v="No"/>
    <n v="8"/>
    <n v="7"/>
    <s v="Single"/>
    <n v="2"/>
    <n v="5"/>
    <s v="Facebook"/>
    <n v="0"/>
    <s v="8"/>
    <s v="OK"/>
    <s v="medium"/>
    <s v="Medium"/>
    <s v="5"/>
    <n v="4.2"/>
    <b v="1"/>
  </r>
  <r>
    <n v="519"/>
    <n v="20"/>
    <s v="Female"/>
    <x v="0"/>
    <s v="India"/>
    <n v="6.9"/>
    <s v="WhatsApp"/>
    <s v="Yes"/>
    <n v="5.9"/>
    <n v="5"/>
    <s v="In Relationship"/>
    <n v="4"/>
    <n v="8"/>
    <s v="Whatsapp"/>
    <n v="1"/>
    <s v="5.9"/>
    <s v="OK"/>
    <b v="1"/>
    <s v="High"/>
    <s v="8"/>
    <n v="4.2"/>
    <b v="1"/>
  </r>
  <r>
    <n v="520"/>
    <n v="22"/>
    <s v="Male"/>
    <x v="1"/>
    <s v="Canada"/>
    <n v="4.7"/>
    <s v="TikTok"/>
    <s v="Yes"/>
    <n v="7.5"/>
    <n v="7"/>
    <s v="Single"/>
    <n v="3"/>
    <n v="6"/>
    <s v="Tiktok"/>
    <n v="2"/>
    <s v="7.5"/>
    <s v="OK"/>
    <s v="medium"/>
    <s v="Medium"/>
    <s v="6"/>
    <n v="4.0999999999999996"/>
    <b v="1"/>
  </r>
  <r>
    <n v="521"/>
    <n v="19"/>
    <s v="Female"/>
    <x v="0"/>
    <s v="Brazil"/>
    <n v="6"/>
    <s v="WhatsApp"/>
    <s v="Yes"/>
    <n v="6.5"/>
    <n v="6"/>
    <s v="Single"/>
    <n v="3"/>
    <n v="7"/>
    <s v="Whatsapp"/>
    <n v="1"/>
    <s v="6.5"/>
    <s v="OK"/>
    <b v="1"/>
    <s v="High"/>
    <s v="7"/>
    <n v="4.0999999999999996"/>
    <b v="1"/>
  </r>
  <r>
    <n v="522"/>
    <n v="21"/>
    <s v="Male"/>
    <x v="1"/>
    <s v="China"/>
    <n v="4.3"/>
    <s v="WeChat"/>
    <s v="No"/>
    <n v="8"/>
    <n v="7"/>
    <s v="In Relationship"/>
    <n v="2"/>
    <n v="5"/>
    <s v="Wechat"/>
    <n v="1"/>
    <s v="8"/>
    <s v="OK"/>
    <s v="medium"/>
    <s v="Medium"/>
    <s v="5"/>
    <n v="4.0999999999999996"/>
    <b v="1"/>
  </r>
  <r>
    <n v="523"/>
    <n v="20"/>
    <s v="Female"/>
    <x v="0"/>
    <s v="Netherlands"/>
    <n v="3.6"/>
    <s v="Instagram"/>
    <s v="No"/>
    <n v="8.4"/>
    <n v="8"/>
    <s v="Single"/>
    <n v="2"/>
    <n v="4"/>
    <s v="Instagram"/>
    <n v="1"/>
    <s v="8.4"/>
    <s v="OK"/>
    <s v="medium"/>
    <s v="Low"/>
    <s v="4"/>
    <n v="4.0999999999999996"/>
    <b v="1"/>
  </r>
  <r>
    <n v="524"/>
    <n v="22"/>
    <s v="Male"/>
    <x v="1"/>
    <s v="New Zealand"/>
    <n v="4.5"/>
    <s v="Facebook"/>
    <s v="Yes"/>
    <n v="7.7"/>
    <n v="7"/>
    <s v="In Relationship"/>
    <n v="3"/>
    <n v="6"/>
    <s v="Facebook"/>
    <n v="0"/>
    <s v="7.7"/>
    <s v="OK"/>
    <s v="medium"/>
    <s v="Medium"/>
    <s v="6"/>
    <n v="4.0999999999999996"/>
    <b v="1"/>
  </r>
  <r>
    <n v="525"/>
    <n v="19"/>
    <s v="Female"/>
    <x v="0"/>
    <s v="Singapore"/>
    <n v="5.3"/>
    <s v="TikTok"/>
    <s v="Yes"/>
    <n v="6.8"/>
    <n v="6"/>
    <s v="Single"/>
    <n v="3"/>
    <n v="7"/>
    <s v="Tiktok"/>
    <n v="2"/>
    <s v="6.8"/>
    <s v="OK"/>
    <b v="1"/>
    <s v="High"/>
    <s v="7"/>
    <n v="4.0999999999999996"/>
    <b v="1"/>
  </r>
  <r>
    <n v="526"/>
    <n v="21"/>
    <s v="Male"/>
    <x v="1"/>
    <s v="Malaysia"/>
    <n v="5.7"/>
    <s v="WhatsApp"/>
    <s v="Yes"/>
    <n v="6.6"/>
    <n v="6"/>
    <s v="Single"/>
    <n v="3"/>
    <n v="7"/>
    <s v="Whatsapp"/>
    <n v="1"/>
    <s v="6.6"/>
    <s v="OK"/>
    <b v="1"/>
    <s v="High"/>
    <s v="7"/>
    <n v="4.0999999999999996"/>
    <b v="1"/>
  </r>
  <r>
    <n v="527"/>
    <n v="20"/>
    <s v="Female"/>
    <x v="0"/>
    <s v="UAE"/>
    <n v="6.7"/>
    <s v="Instagram"/>
    <s v="Yes"/>
    <n v="6.3"/>
    <n v="5"/>
    <s v="In Relationship"/>
    <n v="4"/>
    <n v="8"/>
    <s v="Instagram"/>
    <n v="1"/>
    <s v="6.3"/>
    <s v="OK"/>
    <b v="1"/>
    <s v="High"/>
    <s v="8"/>
    <n v="4.0999999999999996"/>
    <b v="1"/>
  </r>
  <r>
    <n v="528"/>
    <n v="22"/>
    <s v="Male"/>
    <x v="1"/>
    <s v="Poland"/>
    <n v="4"/>
    <s v="Facebook"/>
    <s v="No"/>
    <n v="8.1"/>
    <n v="7"/>
    <s v="Single"/>
    <n v="2"/>
    <n v="5"/>
    <s v="Facebook"/>
    <n v="0"/>
    <s v="8.1"/>
    <s v="OK"/>
    <s v="medium"/>
    <s v="Medium"/>
    <s v="5"/>
    <n v="4.0999999999999996"/>
    <b v="1"/>
  </r>
  <r>
    <n v="529"/>
    <n v="19"/>
    <s v="Female"/>
    <x v="0"/>
    <s v="India"/>
    <n v="7"/>
    <s v="WhatsApp"/>
    <s v="Yes"/>
    <n v="5.8"/>
    <n v="5"/>
    <s v="In Relationship"/>
    <n v="4"/>
    <n v="8"/>
    <s v="Whatsapp"/>
    <n v="1"/>
    <s v="5.8"/>
    <s v="OK"/>
    <b v="1"/>
    <s v="High"/>
    <s v="8"/>
    <n v="4.0999999999999996"/>
    <b v="1"/>
  </r>
  <r>
    <n v="530"/>
    <n v="21"/>
    <s v="Male"/>
    <x v="1"/>
    <s v="Canada"/>
    <n v="4.5999999999999996"/>
    <s v="Instagram"/>
    <s v="Yes"/>
    <n v="7.6"/>
    <n v="7"/>
    <s v="Single"/>
    <n v="3"/>
    <n v="6"/>
    <s v="Instagram"/>
    <n v="1"/>
    <s v="7.6"/>
    <s v="OK"/>
    <s v="medium"/>
    <s v="Medium"/>
    <s v="6"/>
    <n v="4.0999999999999996"/>
    <b v="1"/>
  </r>
  <r>
    <n v="531"/>
    <n v="20"/>
    <s v="Female"/>
    <x v="0"/>
    <s v="Brazil"/>
    <n v="5.9"/>
    <s v="TikTok"/>
    <s v="Yes"/>
    <n v="6.6"/>
    <n v="6"/>
    <s v="Single"/>
    <n v="3"/>
    <n v="7"/>
    <s v="Tiktok"/>
    <n v="2"/>
    <s v="6.6"/>
    <s v="OK"/>
    <b v="1"/>
    <s v="High"/>
    <s v="7"/>
    <n v="4.0999999999999996"/>
    <b v="1"/>
  </r>
  <r>
    <n v="532"/>
    <n v="22"/>
    <s v="Male"/>
    <x v="1"/>
    <s v="China"/>
    <n v="4.2"/>
    <s v="WeChat"/>
    <s v="No"/>
    <n v="8.1"/>
    <n v="7"/>
    <s v="In Relationship"/>
    <n v="2"/>
    <n v="5"/>
    <s v="Wechat"/>
    <n v="1"/>
    <s v="8.1"/>
    <s v="OK"/>
    <s v="medium"/>
    <s v="Medium"/>
    <s v="5"/>
    <n v="4.0999999999999996"/>
    <b v="1"/>
  </r>
  <r>
    <n v="533"/>
    <n v="19"/>
    <s v="Female"/>
    <x v="0"/>
    <s v="Netherlands"/>
    <n v="3.5"/>
    <s v="Instagram"/>
    <s v="No"/>
    <n v="8.5"/>
    <n v="8"/>
    <s v="Single"/>
    <n v="2"/>
    <n v="4"/>
    <s v="Instagram"/>
    <n v="1"/>
    <s v="8.5"/>
    <s v="OK"/>
    <s v="medium"/>
    <s v="Low"/>
    <s v="4"/>
    <n v="4.0999999999999996"/>
    <b v="1"/>
  </r>
  <r>
    <n v="534"/>
    <n v="21"/>
    <s v="Male"/>
    <x v="1"/>
    <s v="New Zealand"/>
    <n v="4.4000000000000004"/>
    <s v="Facebook"/>
    <s v="Yes"/>
    <n v="7.8"/>
    <n v="7"/>
    <s v="In Relationship"/>
    <n v="3"/>
    <n v="6"/>
    <s v="Facebook"/>
    <n v="0"/>
    <s v="7.8"/>
    <s v="OK"/>
    <s v="medium"/>
    <s v="Medium"/>
    <s v="6"/>
    <n v="4.0999999999999996"/>
    <b v="1"/>
  </r>
  <r>
    <n v="535"/>
    <n v="20"/>
    <s v="Female"/>
    <x v="0"/>
    <s v="Singapore"/>
    <n v="5.4"/>
    <s v="TikTok"/>
    <s v="Yes"/>
    <n v="6.7"/>
    <n v="6"/>
    <s v="Single"/>
    <n v="3"/>
    <n v="7"/>
    <s v="Tiktok"/>
    <n v="2"/>
    <s v="6.7"/>
    <s v="OK"/>
    <b v="1"/>
    <s v="High"/>
    <s v="7"/>
    <n v="4.0999999999999996"/>
    <b v="1"/>
  </r>
  <r>
    <n v="536"/>
    <n v="22"/>
    <s v="Male"/>
    <x v="1"/>
    <s v="Malaysia"/>
    <n v="5.8"/>
    <s v="WhatsApp"/>
    <s v="Yes"/>
    <n v="6.5"/>
    <n v="6"/>
    <s v="Single"/>
    <n v="3"/>
    <n v="7"/>
    <s v="Whatsapp"/>
    <n v="1"/>
    <s v="6.5"/>
    <s v="OK"/>
    <b v="1"/>
    <s v="High"/>
    <s v="7"/>
    <n v="4.0999999999999996"/>
    <b v="1"/>
  </r>
  <r>
    <n v="537"/>
    <n v="19"/>
    <s v="Female"/>
    <x v="0"/>
    <s v="UAE"/>
    <n v="6.8"/>
    <s v="Instagram"/>
    <s v="Yes"/>
    <n v="6.2"/>
    <n v="5"/>
    <s v="In Relationship"/>
    <n v="4"/>
    <n v="8"/>
    <s v="Instagram"/>
    <n v="1"/>
    <s v="6.2"/>
    <s v="OK"/>
    <b v="1"/>
    <s v="High"/>
    <s v="8"/>
    <n v="4"/>
    <b v="1"/>
  </r>
  <r>
    <n v="538"/>
    <n v="21"/>
    <s v="Male"/>
    <x v="1"/>
    <s v="Poland"/>
    <n v="3.9"/>
    <s v="Facebook"/>
    <s v="No"/>
    <n v="8.1999999999999993"/>
    <n v="7"/>
    <s v="Single"/>
    <n v="2"/>
    <n v="5"/>
    <s v="Facebook"/>
    <n v="0"/>
    <s v="8.2"/>
    <s v="OK"/>
    <s v="medium"/>
    <s v="Medium"/>
    <s v="5"/>
    <n v="4"/>
    <b v="1"/>
  </r>
  <r>
    <n v="539"/>
    <n v="20"/>
    <s v="Female"/>
    <x v="0"/>
    <s v="India"/>
    <n v="7.1"/>
    <s v="WhatsApp"/>
    <s v="Yes"/>
    <n v="5.7"/>
    <n v="5"/>
    <s v="In Relationship"/>
    <n v="4"/>
    <n v="8"/>
    <s v="Whatsapp"/>
    <n v="1"/>
    <s v="5.7"/>
    <s v="OK"/>
    <b v="1"/>
    <s v="High"/>
    <s v="8"/>
    <n v="4"/>
    <b v="1"/>
  </r>
  <r>
    <n v="540"/>
    <n v="22"/>
    <s v="Male"/>
    <x v="1"/>
    <s v="Canada"/>
    <n v="4.5"/>
    <s v="TikTok"/>
    <s v="Yes"/>
    <n v="7.7"/>
    <n v="7"/>
    <s v="Single"/>
    <n v="3"/>
    <n v="6"/>
    <s v="Tiktok"/>
    <n v="2"/>
    <s v="7.7"/>
    <s v="OK"/>
    <s v="medium"/>
    <s v="Medium"/>
    <s v="6"/>
    <n v="4"/>
    <b v="1"/>
  </r>
  <r>
    <n v="541"/>
    <n v="19"/>
    <s v="Female"/>
    <x v="0"/>
    <s v="Brazil"/>
    <n v="5.8"/>
    <s v="WhatsApp"/>
    <s v="Yes"/>
    <n v="6.7"/>
    <n v="6"/>
    <s v="Single"/>
    <n v="3"/>
    <n v="7"/>
    <s v="Whatsapp"/>
    <n v="1"/>
    <s v="6.7"/>
    <s v="OK"/>
    <b v="1"/>
    <s v="High"/>
    <s v="7"/>
    <n v="4"/>
    <b v="1"/>
  </r>
  <r>
    <n v="542"/>
    <n v="21"/>
    <s v="Male"/>
    <x v="1"/>
    <s v="China"/>
    <n v="4.0999999999999996"/>
    <s v="WeChat"/>
    <s v="No"/>
    <n v="8.1999999999999993"/>
    <n v="7"/>
    <s v="In Relationship"/>
    <n v="2"/>
    <n v="5"/>
    <s v="Wechat"/>
    <n v="1"/>
    <s v="8.2"/>
    <s v="OK"/>
    <s v="medium"/>
    <s v="Medium"/>
    <s v="5"/>
    <n v="4"/>
    <b v="1"/>
  </r>
  <r>
    <n v="543"/>
    <n v="20"/>
    <s v="Female"/>
    <x v="0"/>
    <s v="Netherlands"/>
    <n v="3.4"/>
    <s v="Instagram"/>
    <s v="No"/>
    <n v="8.6"/>
    <n v="8"/>
    <s v="Single"/>
    <n v="2"/>
    <n v="4"/>
    <s v="Instagram"/>
    <n v="1"/>
    <s v="8.6"/>
    <s v="OK"/>
    <s v="medium"/>
    <s v="Low"/>
    <s v="4"/>
    <n v="4"/>
    <b v="1"/>
  </r>
  <r>
    <n v="544"/>
    <n v="22"/>
    <s v="Male"/>
    <x v="1"/>
    <s v="New Zealand"/>
    <n v="4.3"/>
    <s v="Instagram"/>
    <s v="Yes"/>
    <n v="7.9"/>
    <n v="7"/>
    <s v="In Relationship"/>
    <n v="3"/>
    <n v="6"/>
    <s v="Instagram"/>
    <n v="1"/>
    <s v="7.9"/>
    <s v="OK"/>
    <s v="medium"/>
    <s v="Medium"/>
    <s v="6"/>
    <n v="4"/>
    <b v="1"/>
  </r>
  <r>
    <n v="545"/>
    <n v="19"/>
    <s v="Female"/>
    <x v="0"/>
    <s v="Singapore"/>
    <n v="5.5"/>
    <s v="TikTok"/>
    <s v="Yes"/>
    <n v="6.6"/>
    <n v="6"/>
    <s v="Single"/>
    <n v="3"/>
    <n v="7"/>
    <s v="Tiktok"/>
    <n v="2"/>
    <s v="6.6"/>
    <s v="OK"/>
    <b v="1"/>
    <s v="High"/>
    <s v="7"/>
    <n v="4"/>
    <b v="1"/>
  </r>
  <r>
    <n v="546"/>
    <n v="21"/>
    <s v="Male"/>
    <x v="1"/>
    <s v="Malaysia"/>
    <n v="5.9"/>
    <s v="WhatsApp"/>
    <s v="Yes"/>
    <n v="6.4"/>
    <n v="6"/>
    <s v="Single"/>
    <n v="3"/>
    <n v="7"/>
    <s v="Whatsapp"/>
    <n v="1"/>
    <s v="6.4"/>
    <s v="OK"/>
    <b v="1"/>
    <s v="High"/>
    <s v="7"/>
    <n v="4"/>
    <b v="1"/>
  </r>
  <r>
    <n v="547"/>
    <n v="20"/>
    <s v="Female"/>
    <x v="0"/>
    <s v="UAE"/>
    <n v="6.9"/>
    <s v="Instagram"/>
    <s v="Yes"/>
    <n v="6.1"/>
    <n v="5"/>
    <s v="In Relationship"/>
    <n v="4"/>
    <n v="8"/>
    <s v="Instagram"/>
    <n v="1"/>
    <s v="6.1"/>
    <s v="OK"/>
    <b v="1"/>
    <s v="High"/>
    <s v="8"/>
    <n v="4"/>
    <b v="1"/>
  </r>
  <r>
    <n v="548"/>
    <n v="22"/>
    <s v="Male"/>
    <x v="1"/>
    <s v="Poland"/>
    <n v="3.8"/>
    <s v="Facebook"/>
    <s v="No"/>
    <n v="8.3000000000000007"/>
    <n v="7"/>
    <s v="Single"/>
    <n v="2"/>
    <n v="5"/>
    <s v="Facebook"/>
    <n v="0"/>
    <s v="8.3"/>
    <s v="OK"/>
    <s v="medium"/>
    <s v="Medium"/>
    <s v="5"/>
    <n v="4"/>
    <b v="1"/>
  </r>
  <r>
    <n v="549"/>
    <n v="19"/>
    <s v="Female"/>
    <x v="0"/>
    <s v="India"/>
    <n v="7.2"/>
    <s v="WhatsApp"/>
    <s v="Yes"/>
    <n v="5.6"/>
    <n v="5"/>
    <s v="In Relationship"/>
    <n v="4"/>
    <n v="8"/>
    <s v="Whatsapp"/>
    <n v="1"/>
    <s v="5.6"/>
    <s v="OK"/>
    <b v="1"/>
    <s v="High"/>
    <s v="8"/>
    <n v="4"/>
    <b v="1"/>
  </r>
  <r>
    <n v="550"/>
    <n v="21"/>
    <s v="Male"/>
    <x v="1"/>
    <s v="Canada"/>
    <n v="4.4000000000000004"/>
    <s v="Instagram"/>
    <s v="Yes"/>
    <n v="7.8"/>
    <n v="7"/>
    <s v="Single"/>
    <n v="3"/>
    <n v="6"/>
    <s v="Instagram"/>
    <n v="1"/>
    <s v="7.8"/>
    <s v="OK"/>
    <s v="medium"/>
    <s v="Medium"/>
    <s v="6"/>
    <n v="4"/>
    <b v="1"/>
  </r>
  <r>
    <n v="551"/>
    <n v="20"/>
    <s v="Female"/>
    <x v="0"/>
    <s v="Brazil"/>
    <n v="5.7"/>
    <s v="TikTok"/>
    <s v="Yes"/>
    <n v="6.8"/>
    <n v="6"/>
    <s v="Single"/>
    <n v="3"/>
    <n v="7"/>
    <s v="Tiktok"/>
    <n v="2"/>
    <s v="6.8"/>
    <s v="OK"/>
    <b v="1"/>
    <s v="High"/>
    <s v="7"/>
    <n v="4"/>
    <b v="1"/>
  </r>
  <r>
    <n v="552"/>
    <n v="22"/>
    <s v="Male"/>
    <x v="1"/>
    <s v="China"/>
    <n v="4"/>
    <s v="WeChat"/>
    <s v="No"/>
    <n v="8.3000000000000007"/>
    <n v="7"/>
    <s v="In Relationship"/>
    <n v="2"/>
    <n v="5"/>
    <s v="Wechat"/>
    <n v="1"/>
    <s v="8.3"/>
    <s v="OK"/>
    <s v="medium"/>
    <s v="Medium"/>
    <s v="5"/>
    <n v="3.9"/>
    <b v="1"/>
  </r>
  <r>
    <n v="553"/>
    <n v="19"/>
    <s v="Female"/>
    <x v="0"/>
    <s v="Netherlands"/>
    <n v="3.3"/>
    <s v="Instagram"/>
    <s v="No"/>
    <n v="8.6999999999999993"/>
    <n v="8"/>
    <s v="Single"/>
    <n v="2"/>
    <n v="4"/>
    <s v="Instagram"/>
    <n v="1"/>
    <s v="8.7"/>
    <s v="OK"/>
    <s v="medium"/>
    <s v="Low"/>
    <s v="4"/>
    <n v="3.9"/>
    <b v="1"/>
  </r>
  <r>
    <n v="554"/>
    <n v="21"/>
    <s v="Male"/>
    <x v="1"/>
    <s v="New Zealand"/>
    <n v="4.2"/>
    <s v="Facebook"/>
    <s v="Yes"/>
    <n v="8"/>
    <n v="7"/>
    <s v="In Relationship"/>
    <n v="3"/>
    <n v="6"/>
    <s v="Facebook"/>
    <n v="0"/>
    <s v="8"/>
    <s v="OK"/>
    <s v="medium"/>
    <s v="Medium"/>
    <s v="6"/>
    <n v="3.9"/>
    <b v="1"/>
  </r>
  <r>
    <n v="555"/>
    <n v="20"/>
    <s v="Female"/>
    <x v="0"/>
    <s v="Singapore"/>
    <n v="5.6"/>
    <s v="TikTok"/>
    <s v="Yes"/>
    <n v="6.5"/>
    <n v="6"/>
    <s v="Single"/>
    <n v="3"/>
    <n v="7"/>
    <s v="Tiktok"/>
    <n v="2"/>
    <s v="6.5"/>
    <s v="OK"/>
    <b v="1"/>
    <s v="High"/>
    <s v="7"/>
    <n v="3.9"/>
    <b v="1"/>
  </r>
  <r>
    <n v="556"/>
    <n v="22"/>
    <s v="Male"/>
    <x v="1"/>
    <s v="Malaysia"/>
    <n v="6"/>
    <s v="WhatsApp"/>
    <s v="Yes"/>
    <n v="6.3"/>
    <n v="6"/>
    <s v="Single"/>
    <n v="3"/>
    <n v="7"/>
    <s v="Whatsapp"/>
    <n v="1"/>
    <s v="6.3"/>
    <s v="OK"/>
    <b v="1"/>
    <s v="High"/>
    <s v="7"/>
    <n v="3.9"/>
    <b v="1"/>
  </r>
  <r>
    <n v="557"/>
    <n v="19"/>
    <s v="Female"/>
    <x v="0"/>
    <s v="UAE"/>
    <n v="7"/>
    <s v="Instagram"/>
    <s v="Yes"/>
    <n v="6"/>
    <n v="5"/>
    <s v="In Relationship"/>
    <n v="4"/>
    <n v="8"/>
    <s v="Instagram"/>
    <n v="1"/>
    <s v="6"/>
    <s v="OK"/>
    <b v="1"/>
    <s v="High"/>
    <s v="8"/>
    <n v="3.9"/>
    <b v="1"/>
  </r>
  <r>
    <n v="558"/>
    <n v="21"/>
    <s v="Male"/>
    <x v="1"/>
    <s v="Poland"/>
    <n v="3.7"/>
    <s v="Facebook"/>
    <s v="No"/>
    <n v="8.4"/>
    <n v="7"/>
    <s v="Single"/>
    <n v="2"/>
    <n v="5"/>
    <s v="Facebook"/>
    <n v="0"/>
    <s v="8.4"/>
    <s v="OK"/>
    <s v="medium"/>
    <s v="Medium"/>
    <s v="5"/>
    <n v="3.9"/>
    <b v="1"/>
  </r>
  <r>
    <n v="559"/>
    <n v="20"/>
    <s v="Female"/>
    <x v="0"/>
    <s v="India"/>
    <n v="7.3"/>
    <s v="WhatsApp"/>
    <s v="Yes"/>
    <n v="5.5"/>
    <n v="5"/>
    <s v="In Relationship"/>
    <n v="4"/>
    <n v="8"/>
    <s v="Whatsapp"/>
    <n v="1"/>
    <s v="5.5"/>
    <s v="OK"/>
    <b v="1"/>
    <s v="High"/>
    <s v="8"/>
    <n v="3.9"/>
    <b v="1"/>
  </r>
  <r>
    <n v="560"/>
    <n v="22"/>
    <s v="Male"/>
    <x v="1"/>
    <s v="Canada"/>
    <n v="4.3"/>
    <s v="TikTok"/>
    <s v="Yes"/>
    <n v="7.9"/>
    <n v="7"/>
    <s v="Single"/>
    <n v="3"/>
    <n v="6"/>
    <s v="Tiktok"/>
    <n v="2"/>
    <s v="7.9"/>
    <s v="OK"/>
    <s v="medium"/>
    <s v="Medium"/>
    <s v="6"/>
    <n v="3.9"/>
    <b v="1"/>
  </r>
  <r>
    <n v="561"/>
    <n v="19"/>
    <s v="Female"/>
    <x v="0"/>
    <s v="Brazil"/>
    <n v="5.6"/>
    <s v="WhatsApp"/>
    <s v="Yes"/>
    <n v="6.9"/>
    <n v="6"/>
    <s v="Single"/>
    <n v="3"/>
    <n v="7"/>
    <s v="Whatsapp"/>
    <n v="1"/>
    <s v="6.9"/>
    <s v="OK"/>
    <b v="1"/>
    <s v="High"/>
    <s v="7"/>
    <n v="3.9"/>
    <b v="1"/>
  </r>
  <r>
    <n v="562"/>
    <n v="21"/>
    <s v="Male"/>
    <x v="1"/>
    <s v="China"/>
    <n v="3.9"/>
    <s v="WeChat"/>
    <s v="No"/>
    <n v="8.4"/>
    <n v="7"/>
    <s v="In Relationship"/>
    <n v="2"/>
    <n v="5"/>
    <s v="Wechat"/>
    <n v="1"/>
    <s v="8.4"/>
    <s v="OK"/>
    <s v="medium"/>
    <s v="Medium"/>
    <s v="5"/>
    <n v="3.9"/>
    <b v="1"/>
  </r>
  <r>
    <n v="563"/>
    <n v="20"/>
    <s v="Female"/>
    <x v="0"/>
    <s v="Netherlands"/>
    <n v="3.2"/>
    <s v="Instagram"/>
    <s v="No"/>
    <n v="8.8000000000000007"/>
    <n v="8"/>
    <s v="Single"/>
    <n v="2"/>
    <n v="4"/>
    <s v="Instagram"/>
    <n v="1"/>
    <s v="8.8"/>
    <s v="OK"/>
    <s v="medium"/>
    <s v="Low"/>
    <s v="4"/>
    <n v="3.9"/>
    <b v="1"/>
  </r>
  <r>
    <n v="564"/>
    <n v="22"/>
    <s v="Male"/>
    <x v="1"/>
    <s v="New Zealand"/>
    <n v="4.0999999999999996"/>
    <s v="Instagram"/>
    <s v="Yes"/>
    <n v="8.1"/>
    <n v="7"/>
    <s v="In Relationship"/>
    <n v="3"/>
    <n v="6"/>
    <s v="Instagram"/>
    <n v="1"/>
    <s v="8.1"/>
    <s v="OK"/>
    <s v="medium"/>
    <s v="Medium"/>
    <s v="6"/>
    <n v="3.9"/>
    <b v="1"/>
  </r>
  <r>
    <n v="565"/>
    <n v="19"/>
    <s v="Female"/>
    <x v="0"/>
    <s v="Singapore"/>
    <n v="5.7"/>
    <s v="TikTok"/>
    <s v="Yes"/>
    <n v="6.4"/>
    <n v="6"/>
    <s v="Single"/>
    <n v="3"/>
    <n v="7"/>
    <s v="Tiktok"/>
    <n v="2"/>
    <s v="6.4"/>
    <s v="OK"/>
    <b v="1"/>
    <s v="High"/>
    <s v="7"/>
    <n v="3.9"/>
    <b v="1"/>
  </r>
  <r>
    <n v="566"/>
    <n v="21"/>
    <s v="Male"/>
    <x v="1"/>
    <s v="Malaysia"/>
    <n v="6.1"/>
    <s v="WhatsApp"/>
    <s v="Yes"/>
    <n v="6.2"/>
    <n v="6"/>
    <s v="Single"/>
    <n v="3"/>
    <n v="7"/>
    <s v="Whatsapp"/>
    <n v="1"/>
    <s v="6.2"/>
    <s v="OK"/>
    <b v="1"/>
    <s v="High"/>
    <s v="7"/>
    <n v="3.9"/>
    <b v="1"/>
  </r>
  <r>
    <n v="567"/>
    <n v="20"/>
    <s v="Female"/>
    <x v="0"/>
    <s v="UAE"/>
    <n v="7.1"/>
    <s v="Instagram"/>
    <s v="Yes"/>
    <n v="5.9"/>
    <n v="5"/>
    <s v="In Relationship"/>
    <n v="4"/>
    <n v="8"/>
    <s v="Instagram"/>
    <n v="1"/>
    <s v="5.9"/>
    <s v="OK"/>
    <b v="1"/>
    <s v="High"/>
    <s v="8"/>
    <n v="3.8"/>
    <b v="1"/>
  </r>
  <r>
    <n v="568"/>
    <n v="22"/>
    <s v="Male"/>
    <x v="1"/>
    <s v="Poland"/>
    <n v="3.6"/>
    <s v="Facebook"/>
    <s v="No"/>
    <n v="8.5"/>
    <n v="7"/>
    <s v="Single"/>
    <n v="2"/>
    <n v="5"/>
    <s v="Facebook"/>
    <n v="0"/>
    <s v="8.5"/>
    <s v="OK"/>
    <s v="medium"/>
    <s v="Medium"/>
    <s v="5"/>
    <n v="3.8"/>
    <b v="1"/>
  </r>
  <r>
    <n v="569"/>
    <n v="19"/>
    <s v="Female"/>
    <x v="0"/>
    <s v="India"/>
    <n v="7.4"/>
    <s v="WhatsApp"/>
    <s v="Yes"/>
    <n v="5.4"/>
    <n v="5"/>
    <s v="In Relationship"/>
    <n v="4"/>
    <n v="8"/>
    <s v="Whatsapp"/>
    <n v="1"/>
    <s v="5.4"/>
    <s v="OK"/>
    <b v="1"/>
    <s v="High"/>
    <s v="8"/>
    <n v="3.8"/>
    <b v="1"/>
  </r>
  <r>
    <n v="570"/>
    <n v="21"/>
    <s v="Male"/>
    <x v="1"/>
    <s v="Canada"/>
    <n v="4.2"/>
    <s v="Instagram"/>
    <s v="Yes"/>
    <n v="8"/>
    <n v="7"/>
    <s v="Single"/>
    <n v="3"/>
    <n v="6"/>
    <s v="Instagram"/>
    <n v="1"/>
    <s v="8"/>
    <s v="OK"/>
    <s v="medium"/>
    <s v="Medium"/>
    <s v="6"/>
    <n v="3.8"/>
    <b v="1"/>
  </r>
  <r>
    <n v="571"/>
    <n v="20"/>
    <s v="Female"/>
    <x v="0"/>
    <s v="Spain"/>
    <n v="6.1"/>
    <s v="Instagram"/>
    <s v="Yes"/>
    <n v="7.2"/>
    <n v="5"/>
    <s v="Single"/>
    <n v="4"/>
    <n v="7"/>
    <s v="Instagram"/>
    <n v="1"/>
    <s v="7.2"/>
    <s v="OK"/>
    <b v="1"/>
    <s v="High"/>
    <s v="7"/>
    <n v="3.8"/>
    <b v="1"/>
  </r>
  <r>
    <n v="572"/>
    <n v="23"/>
    <s v="Male"/>
    <x v="1"/>
    <s v="Denmark"/>
    <n v="3.8"/>
    <s v="Twitter"/>
    <s v="No"/>
    <n v="7.8"/>
    <n v="8"/>
    <s v="In Relationship"/>
    <n v="2"/>
    <n v="4"/>
    <s v="Twitter"/>
    <n v="3"/>
    <s v="7.8"/>
    <s v="OK"/>
    <s v="medium"/>
    <s v="Low"/>
    <s v="4"/>
    <n v="3.8"/>
    <b v="1"/>
  </r>
  <r>
    <n v="573"/>
    <n v="19"/>
    <s v="Female"/>
    <x v="0"/>
    <s v="Ireland"/>
    <n v="5.5"/>
    <s v="TikTok"/>
    <s v="Yes"/>
    <n v="6.8"/>
    <n v="6"/>
    <s v="Single"/>
    <n v="4"/>
    <n v="8"/>
    <s v="Tiktok"/>
    <n v="2"/>
    <s v="6.8"/>
    <s v="OK"/>
    <b v="1"/>
    <s v="High"/>
    <s v="8"/>
    <n v="3.8"/>
    <b v="1"/>
  </r>
  <r>
    <n v="574"/>
    <n v="22"/>
    <s v="Male"/>
    <x v="1"/>
    <s v="India"/>
    <n v="7.2"/>
    <s v="Facebook"/>
    <s v="Yes"/>
    <n v="5.9"/>
    <n v="4"/>
    <s v="Single"/>
    <n v="5"/>
    <n v="9"/>
    <s v="Facebook"/>
    <n v="0"/>
    <s v="5.9"/>
    <s v="OK"/>
    <b v="1"/>
    <s v="High"/>
    <s v="9"/>
    <n v="3.8"/>
    <b v="1"/>
  </r>
  <r>
    <n v="575"/>
    <n v="21"/>
    <s v="Female"/>
    <x v="0"/>
    <s v="Switzerland"/>
    <n v="4.2"/>
    <s v="Instagram"/>
    <s v="No"/>
    <n v="7.5"/>
    <n v="7"/>
    <s v="In Relationship"/>
    <n v="2"/>
    <n v="5"/>
    <s v="Instagram"/>
    <n v="1"/>
    <s v="7.5"/>
    <s v="OK"/>
    <s v="medium"/>
    <s v="Medium"/>
    <s v="5"/>
    <n v="3.8"/>
    <b v="1"/>
  </r>
  <r>
    <n v="576"/>
    <n v="24"/>
    <s v="Male"/>
    <x v="1"/>
    <s v="Turkey"/>
    <n v="6.8"/>
    <s v="TikTok"/>
    <s v="Yes"/>
    <n v="6.2"/>
    <n v="5"/>
    <s v="Single"/>
    <n v="4"/>
    <n v="8"/>
    <s v="Tiktok"/>
    <n v="2"/>
    <s v="6.2"/>
    <s v="OK"/>
    <b v="1"/>
    <s v="High"/>
    <s v="8"/>
    <n v="3.8"/>
    <b v="1"/>
  </r>
  <r>
    <n v="577"/>
    <n v="20"/>
    <s v="Female"/>
    <x v="0"/>
    <s v="USA"/>
    <n v="5.9"/>
    <s v="Instagram"/>
    <s v="Yes"/>
    <n v="6.7"/>
    <n v="6"/>
    <s v="In Relationship"/>
    <n v="3"/>
    <n v="7"/>
    <s v="Instagram"/>
    <n v="1"/>
    <s v="6.7"/>
    <s v="OK"/>
    <b v="1"/>
    <s v="High"/>
    <s v="7"/>
    <n v="3.8"/>
    <b v="1"/>
  </r>
  <r>
    <n v="578"/>
    <n v="22"/>
    <s v="Male"/>
    <x v="1"/>
    <s v="Mexico"/>
    <n v="6.5"/>
    <s v="Facebook"/>
    <s v="Yes"/>
    <n v="6.1"/>
    <n v="5"/>
    <s v="Single"/>
    <n v="4"/>
    <n v="8"/>
    <s v="Facebook"/>
    <n v="0"/>
    <s v="6.1"/>
    <s v="OK"/>
    <b v="1"/>
    <s v="High"/>
    <s v="8"/>
    <n v="3.8"/>
    <b v="1"/>
  </r>
  <r>
    <n v="579"/>
    <n v="19"/>
    <s v="Female"/>
    <x v="0"/>
    <s v="France"/>
    <n v="4.7"/>
    <s v="Twitter"/>
    <s v="No"/>
    <n v="7.4"/>
    <n v="7"/>
    <s v="Single"/>
    <n v="2"/>
    <n v="5"/>
    <s v="Twitter"/>
    <n v="3"/>
    <s v="7.4"/>
    <s v="OK"/>
    <s v="medium"/>
    <s v="Medium"/>
    <s v="5"/>
    <n v="3.8"/>
    <b v="1"/>
  </r>
  <r>
    <n v="580"/>
    <n v="23"/>
    <s v="Male"/>
    <x v="1"/>
    <s v="Canada"/>
    <n v="5.2"/>
    <s v="Instagram"/>
    <s v="Yes"/>
    <n v="7"/>
    <n v="6"/>
    <s v="In Relationship"/>
    <n v="3"/>
    <n v="6"/>
    <s v="Instagram"/>
    <n v="1"/>
    <s v="7"/>
    <s v="OK"/>
    <s v="medium"/>
    <s v="Medium"/>
    <s v="6"/>
    <n v="3.8"/>
    <b v="1"/>
  </r>
  <r>
    <n v="581"/>
    <n v="21"/>
    <s v="Female"/>
    <x v="0"/>
    <s v="UK"/>
    <n v="6.3"/>
    <s v="TikTok"/>
    <s v="Yes"/>
    <n v="6.4"/>
    <n v="5"/>
    <s v="Single"/>
    <n v="4"/>
    <n v="8"/>
    <s v="Tiktok"/>
    <n v="2"/>
    <s v="6.4"/>
    <s v="OK"/>
    <b v="1"/>
    <s v="High"/>
    <s v="8"/>
    <n v="3.8"/>
    <b v="1"/>
  </r>
  <r>
    <n v="582"/>
    <n v="24"/>
    <s v="Male"/>
    <x v="1"/>
    <s v="Italy"/>
    <n v="4.9000000000000004"/>
    <s v="Facebook"/>
    <s v="No"/>
    <n v="7.3"/>
    <n v="7"/>
    <s v="In Relationship"/>
    <n v="2"/>
    <n v="5"/>
    <s v="Facebook"/>
    <n v="0"/>
    <s v="7.3"/>
    <s v="OK"/>
    <s v="medium"/>
    <s v="Medium"/>
    <s v="5"/>
    <n v="3.8"/>
    <b v="1"/>
  </r>
  <r>
    <n v="583"/>
    <n v="20"/>
    <s v="Female"/>
    <x v="0"/>
    <s v="Russia"/>
    <n v="6.7"/>
    <s v="Instagram"/>
    <s v="Yes"/>
    <n v="6"/>
    <n v="5"/>
    <s v="Single"/>
    <n v="4"/>
    <n v="8"/>
    <s v="Instagram"/>
    <n v="1"/>
    <s v="6"/>
    <s v="OK"/>
    <b v="1"/>
    <s v="High"/>
    <s v="8"/>
    <n v="3.8"/>
    <b v="1"/>
  </r>
  <r>
    <n v="584"/>
    <n v="22"/>
    <s v="Male"/>
    <x v="1"/>
    <s v="China"/>
    <n v="5.8"/>
    <s v="WeChat"/>
    <s v="Yes"/>
    <n v="6.5"/>
    <n v="6"/>
    <s v="In Relationship"/>
    <n v="3"/>
    <n v="7"/>
    <s v="Wechat"/>
    <n v="1"/>
    <s v="6.5"/>
    <s v="OK"/>
    <b v="1"/>
    <s v="High"/>
    <s v="7"/>
    <n v="3.8"/>
    <b v="1"/>
  </r>
  <r>
    <n v="585"/>
    <n v="19"/>
    <s v="Female"/>
    <x v="0"/>
    <s v="Japan"/>
    <n v="4.5"/>
    <s v="Twitter"/>
    <s v="No"/>
    <n v="7.6"/>
    <n v="8"/>
    <s v="Single"/>
    <n v="2"/>
    <n v="4"/>
    <s v="Twitter"/>
    <n v="3"/>
    <s v="7.6"/>
    <s v="OK"/>
    <s v="medium"/>
    <s v="Low"/>
    <s v="4"/>
    <n v="3.8"/>
    <b v="1"/>
  </r>
  <r>
    <n v="586"/>
    <n v="23"/>
    <s v="Male"/>
    <x v="1"/>
    <s v="Poland"/>
    <n v="6.4"/>
    <s v="Facebook"/>
    <s v="Yes"/>
    <n v="6.3"/>
    <n v="5"/>
    <s v="Single"/>
    <n v="4"/>
    <n v="8"/>
    <s v="Facebook"/>
    <n v="0"/>
    <s v="6.3"/>
    <s v="OK"/>
    <b v="1"/>
    <s v="High"/>
    <s v="8"/>
    <n v="3.7"/>
    <b v="1"/>
  </r>
  <r>
    <n v="587"/>
    <n v="21"/>
    <s v="Female"/>
    <x v="0"/>
    <s v="Finland"/>
    <n v="4.0999999999999996"/>
    <s v="Instagram"/>
    <s v="No"/>
    <n v="7.7"/>
    <n v="7"/>
    <s v="In Relationship"/>
    <n v="2"/>
    <n v="5"/>
    <s v="Instagram"/>
    <n v="1"/>
    <s v="7.7"/>
    <s v="OK"/>
    <s v="medium"/>
    <s v="Medium"/>
    <s v="5"/>
    <n v="3.7"/>
    <b v="1"/>
  </r>
  <r>
    <n v="588"/>
    <n v="24"/>
    <s v="Male"/>
    <x v="1"/>
    <s v="Spain"/>
    <n v="6.6"/>
    <s v="TikTok"/>
    <s v="Yes"/>
    <n v="6.2"/>
    <n v="5"/>
    <s v="Single"/>
    <n v="4"/>
    <n v="8"/>
    <s v="Tiktok"/>
    <n v="2"/>
    <s v="6.2"/>
    <s v="OK"/>
    <b v="1"/>
    <s v="High"/>
    <s v="8"/>
    <n v="3.7"/>
    <b v="1"/>
  </r>
  <r>
    <n v="589"/>
    <n v="20"/>
    <s v="Female"/>
    <x v="0"/>
    <s v="Denmark"/>
    <n v="4.4000000000000004"/>
    <s v="Instagram"/>
    <s v="No"/>
    <n v="7.4"/>
    <n v="7"/>
    <s v="In Relationship"/>
    <n v="2"/>
    <n v="5"/>
    <s v="Instagram"/>
    <n v="1"/>
    <s v="7.4"/>
    <s v="OK"/>
    <s v="medium"/>
    <s v="Medium"/>
    <s v="5"/>
    <n v="3.7"/>
    <b v="1"/>
  </r>
  <r>
    <n v="590"/>
    <n v="22"/>
    <s v="Male"/>
    <x v="1"/>
    <s v="Ireland"/>
    <n v="5.7"/>
    <s v="Twitter"/>
    <s v="Yes"/>
    <n v="6.8"/>
    <n v="6"/>
    <s v="Single"/>
    <n v="3"/>
    <n v="7"/>
    <s v="Twitter"/>
    <n v="3"/>
    <s v="6.8"/>
    <s v="OK"/>
    <b v="1"/>
    <s v="High"/>
    <s v="7"/>
    <n v="3.7"/>
    <b v="1"/>
  </r>
  <r>
    <n v="591"/>
    <n v="19"/>
    <s v="Female"/>
    <x v="0"/>
    <s v="India"/>
    <n v="7"/>
    <s v="Instagram"/>
    <s v="Yes"/>
    <n v="5.8"/>
    <n v="4"/>
    <s v="Single"/>
    <n v="5"/>
    <n v="9"/>
    <s v="Instagram"/>
    <n v="1"/>
    <s v="5.8"/>
    <s v="OK"/>
    <b v="1"/>
    <s v="High"/>
    <s v="9"/>
    <n v="3.7"/>
    <b v="1"/>
  </r>
  <r>
    <n v="592"/>
    <n v="23"/>
    <s v="Male"/>
    <x v="1"/>
    <s v="Switzerland"/>
    <n v="4.3"/>
    <s v="Facebook"/>
    <s v="No"/>
    <n v="7.5"/>
    <n v="7"/>
    <s v="In Relationship"/>
    <n v="2"/>
    <n v="5"/>
    <s v="Facebook"/>
    <n v="0"/>
    <s v="7.5"/>
    <s v="OK"/>
    <s v="medium"/>
    <s v="Medium"/>
    <s v="5"/>
    <n v="3.7"/>
    <b v="1"/>
  </r>
  <r>
    <n v="593"/>
    <n v="21"/>
    <s v="Female"/>
    <x v="0"/>
    <s v="Turkey"/>
    <n v="6.9"/>
    <s v="TikTok"/>
    <s v="Yes"/>
    <n v="6.1"/>
    <n v="5"/>
    <s v="Single"/>
    <n v="4"/>
    <n v="8"/>
    <s v="Tiktok"/>
    <n v="2"/>
    <s v="6.1"/>
    <s v="OK"/>
    <b v="1"/>
    <s v="High"/>
    <s v="8"/>
    <n v="3.7"/>
    <b v="1"/>
  </r>
  <r>
    <n v="594"/>
    <n v="24"/>
    <s v="Male"/>
    <x v="1"/>
    <s v="USA"/>
    <n v="5.6"/>
    <s v="Instagram"/>
    <s v="Yes"/>
    <n v="6.9"/>
    <n v="6"/>
    <s v="In Relationship"/>
    <n v="3"/>
    <n v="7"/>
    <s v="Instagram"/>
    <n v="1"/>
    <s v="6.9"/>
    <s v="OK"/>
    <b v="1"/>
    <s v="High"/>
    <s v="7"/>
    <n v="3.7"/>
    <b v="1"/>
  </r>
  <r>
    <n v="595"/>
    <n v="20"/>
    <s v="Female"/>
    <x v="0"/>
    <s v="Mexico"/>
    <n v="6.2"/>
    <s v="Facebook"/>
    <s v="Yes"/>
    <n v="6.3"/>
    <n v="5"/>
    <s v="Single"/>
    <n v="4"/>
    <n v="8"/>
    <s v="Facebook"/>
    <n v="0"/>
    <s v="6.3"/>
    <s v="OK"/>
    <b v="1"/>
    <s v="High"/>
    <s v="8"/>
    <n v="3.7"/>
    <b v="1"/>
  </r>
  <r>
    <n v="596"/>
    <n v="21"/>
    <s v="Male"/>
    <x v="0"/>
    <s v="France"/>
    <n v="5.8"/>
    <s v="Instagram"/>
    <s v="Yes"/>
    <n v="6.7"/>
    <n v="6"/>
    <s v="Single"/>
    <n v="3"/>
    <n v="7"/>
    <s v="Instagram"/>
    <n v="1"/>
    <s v="6.7"/>
    <s v="OK"/>
    <b v="1"/>
    <s v="High"/>
    <s v="7"/>
    <n v="3.7"/>
    <b v="1"/>
  </r>
  <r>
    <n v="597"/>
    <n v="23"/>
    <s v="Female"/>
    <x v="1"/>
    <s v="Canada"/>
    <n v="4.9000000000000004"/>
    <s v="TikTok"/>
    <s v="No"/>
    <n v="7.3"/>
    <n v="7"/>
    <s v="In Relationship"/>
    <n v="2"/>
    <n v="5"/>
    <s v="Tiktok"/>
    <n v="2"/>
    <s v="7.3"/>
    <s v="OK"/>
    <s v="medium"/>
    <s v="Medium"/>
    <s v="5"/>
    <n v="3.7"/>
    <b v="1"/>
  </r>
  <r>
    <n v="598"/>
    <n v="20"/>
    <s v="Male"/>
    <x v="0"/>
    <s v="UK"/>
    <n v="6.4"/>
    <s v="Facebook"/>
    <s v="Yes"/>
    <n v="6.2"/>
    <n v="5"/>
    <s v="Single"/>
    <n v="4"/>
    <n v="8"/>
    <s v="Facebook"/>
    <n v="0"/>
    <s v="6.2"/>
    <s v="OK"/>
    <b v="1"/>
    <s v="High"/>
    <s v="8"/>
    <n v="3.7"/>
    <b v="1"/>
  </r>
  <r>
    <n v="599"/>
    <n v="22"/>
    <s v="Female"/>
    <x v="1"/>
    <s v="Italy"/>
    <n v="5.0999999999999996"/>
    <s v="Twitter"/>
    <s v="No"/>
    <n v="7.1"/>
    <n v="7"/>
    <s v="In Relationship"/>
    <n v="2"/>
    <n v="5"/>
    <s v="Twitter"/>
    <n v="3"/>
    <s v="7.1"/>
    <s v="OK"/>
    <s v="medium"/>
    <s v="Medium"/>
    <s v="5"/>
    <n v="3.7"/>
    <b v="1"/>
  </r>
  <r>
    <n v="600"/>
    <n v="19"/>
    <s v="Male"/>
    <x v="0"/>
    <s v="Russia"/>
    <n v="6.7"/>
    <s v="Instagram"/>
    <s v="Yes"/>
    <n v="6"/>
    <n v="4"/>
    <s v="Single"/>
    <n v="4"/>
    <n v="8"/>
    <s v="Instagram"/>
    <n v="1"/>
    <s v="6"/>
    <s v="OK"/>
    <b v="1"/>
    <s v="High"/>
    <s v="8"/>
    <n v="3.7"/>
    <b v="1"/>
  </r>
  <r>
    <n v="601"/>
    <n v="24"/>
    <s v="Female"/>
    <x v="1"/>
    <s v="China"/>
    <n v="5.5"/>
    <s v="WeChat"/>
    <s v="Yes"/>
    <n v="6.8"/>
    <n v="6"/>
    <s v="In Relationship"/>
    <n v="3"/>
    <n v="7"/>
    <s v="Wechat"/>
    <n v="1"/>
    <s v="6.8"/>
    <s v="OK"/>
    <b v="1"/>
    <s v="High"/>
    <s v="7"/>
    <n v="3.6"/>
    <b v="1"/>
  </r>
  <r>
    <n v="602"/>
    <n v="21"/>
    <s v="Male"/>
    <x v="0"/>
    <s v="Japan"/>
    <n v="4.3"/>
    <s v="Twitter"/>
    <s v="No"/>
    <n v="7.6"/>
    <n v="8"/>
    <s v="Single"/>
    <n v="2"/>
    <n v="4"/>
    <s v="Twitter"/>
    <n v="3"/>
    <s v="7.6"/>
    <s v="OK"/>
    <s v="medium"/>
    <s v="Low"/>
    <s v="4"/>
    <n v="3.6"/>
    <b v="1"/>
  </r>
  <r>
    <n v="603"/>
    <n v="23"/>
    <s v="Female"/>
    <x v="1"/>
    <s v="Poland"/>
    <n v="6.2"/>
    <s v="Instagram"/>
    <s v="Yes"/>
    <n v="6.4"/>
    <n v="5"/>
    <s v="Single"/>
    <n v="4"/>
    <n v="8"/>
    <s v="Instagram"/>
    <n v="1"/>
    <s v="6.4"/>
    <s v="OK"/>
    <b v="1"/>
    <s v="High"/>
    <s v="8"/>
    <n v="3.6"/>
    <b v="1"/>
  </r>
  <r>
    <n v="604"/>
    <n v="20"/>
    <s v="Male"/>
    <x v="0"/>
    <s v="Finland"/>
    <n v="4.5"/>
    <s v="Facebook"/>
    <s v="No"/>
    <n v="7.4"/>
    <n v="7"/>
    <s v="In Relationship"/>
    <n v="2"/>
    <n v="5"/>
    <s v="Facebook"/>
    <n v="0"/>
    <s v="7.4"/>
    <s v="OK"/>
    <s v="medium"/>
    <s v="Medium"/>
    <s v="5"/>
    <n v="3.6"/>
    <b v="1"/>
  </r>
  <r>
    <n v="605"/>
    <n v="22"/>
    <s v="Female"/>
    <x v="1"/>
    <s v="Spain"/>
    <n v="6.3"/>
    <s v="TikTok"/>
    <s v="Yes"/>
    <n v="6.3"/>
    <n v="5"/>
    <s v="Single"/>
    <n v="4"/>
    <n v="8"/>
    <s v="Tiktok"/>
    <n v="2"/>
    <s v="6.3"/>
    <s v="OK"/>
    <b v="1"/>
    <s v="High"/>
    <s v="8"/>
    <n v="3.6"/>
    <b v="1"/>
  </r>
  <r>
    <n v="606"/>
    <n v="19"/>
    <s v="Male"/>
    <x v="0"/>
    <s v="Denmark"/>
    <n v="4.7"/>
    <s v="Instagram"/>
    <s v="No"/>
    <n v="7.2"/>
    <n v="7"/>
    <s v="In Relationship"/>
    <n v="2"/>
    <n v="5"/>
    <s v="Instagram"/>
    <n v="1"/>
    <s v="7.2"/>
    <s v="OK"/>
    <s v="medium"/>
    <s v="Medium"/>
    <s v="5"/>
    <n v="3.6"/>
    <b v="1"/>
  </r>
  <r>
    <n v="607"/>
    <n v="24"/>
    <s v="Female"/>
    <x v="1"/>
    <s v="Ireland"/>
    <n v="5.9"/>
    <s v="Twitter"/>
    <s v="Yes"/>
    <n v="6.6"/>
    <n v="6"/>
    <s v="Single"/>
    <n v="3"/>
    <n v="7"/>
    <s v="Twitter"/>
    <n v="3"/>
    <s v="6.6"/>
    <s v="OK"/>
    <b v="1"/>
    <s v="High"/>
    <s v="7"/>
    <n v="3.6"/>
    <b v="1"/>
  </r>
  <r>
    <n v="608"/>
    <n v="21"/>
    <s v="Male"/>
    <x v="0"/>
    <s v="India"/>
    <n v="7.1"/>
    <s v="Facebook"/>
    <s v="Yes"/>
    <n v="5.7"/>
    <n v="4"/>
    <s v="Single"/>
    <n v="5"/>
    <n v="9"/>
    <s v="Facebook"/>
    <n v="0"/>
    <s v="5.7"/>
    <s v="OK"/>
    <b v="1"/>
    <s v="High"/>
    <s v="9"/>
    <n v="3.6"/>
    <b v="1"/>
  </r>
  <r>
    <n v="609"/>
    <n v="23"/>
    <s v="Female"/>
    <x v="1"/>
    <s v="Switzerland"/>
    <n v="4.4000000000000004"/>
    <s v="Instagram"/>
    <s v="No"/>
    <n v="7.4"/>
    <n v="7"/>
    <s v="In Relationship"/>
    <n v="2"/>
    <n v="5"/>
    <s v="Instagram"/>
    <n v="1"/>
    <s v="7.4"/>
    <s v="OK"/>
    <s v="medium"/>
    <s v="Medium"/>
    <s v="5"/>
    <n v="3.6"/>
    <b v="1"/>
  </r>
  <r>
    <n v="610"/>
    <n v="20"/>
    <s v="Male"/>
    <x v="0"/>
    <s v="Turkey"/>
    <n v="6.6"/>
    <s v="TikTok"/>
    <s v="Yes"/>
    <n v="6.2"/>
    <n v="5"/>
    <s v="Single"/>
    <n v="4"/>
    <n v="8"/>
    <s v="Tiktok"/>
    <n v="2"/>
    <s v="6.2"/>
    <s v="OK"/>
    <b v="1"/>
    <s v="High"/>
    <s v="8"/>
    <n v="3.6"/>
    <b v="1"/>
  </r>
  <r>
    <n v="611"/>
    <n v="22"/>
    <s v="Female"/>
    <x v="1"/>
    <s v="USA"/>
    <n v="5.4"/>
    <s v="Instagram"/>
    <s v="Yes"/>
    <n v="6.9"/>
    <n v="6"/>
    <s v="In Relationship"/>
    <n v="3"/>
    <n v="7"/>
    <s v="Instagram"/>
    <n v="1"/>
    <s v="6.9"/>
    <s v="OK"/>
    <b v="1"/>
    <s v="High"/>
    <s v="7"/>
    <n v="3.6"/>
    <b v="1"/>
  </r>
  <r>
    <n v="612"/>
    <n v="19"/>
    <s v="Male"/>
    <x v="0"/>
    <s v="Mexico"/>
    <n v="6.5"/>
    <s v="Facebook"/>
    <s v="Yes"/>
    <n v="6.1"/>
    <n v="5"/>
    <s v="Single"/>
    <n v="4"/>
    <n v="8"/>
    <s v="Facebook"/>
    <n v="0"/>
    <s v="6.1"/>
    <s v="OK"/>
    <b v="1"/>
    <s v="High"/>
    <s v="8"/>
    <n v="3.6"/>
    <b v="1"/>
  </r>
  <r>
    <n v="613"/>
    <n v="24"/>
    <s v="Female"/>
    <x v="1"/>
    <s v="France"/>
    <n v="4.8"/>
    <s v="Twitter"/>
    <s v="No"/>
    <n v="7.3"/>
    <n v="7"/>
    <s v="In Relationship"/>
    <n v="2"/>
    <n v="5"/>
    <s v="Twitter"/>
    <n v="3"/>
    <s v="7.3"/>
    <s v="OK"/>
    <s v="medium"/>
    <s v="Medium"/>
    <s v="5"/>
    <n v="3.6"/>
    <b v="1"/>
  </r>
  <r>
    <n v="614"/>
    <n v="21"/>
    <s v="Male"/>
    <x v="0"/>
    <s v="Canada"/>
    <n v="5.7"/>
    <s v="Instagram"/>
    <s v="Yes"/>
    <n v="6.7"/>
    <n v="6"/>
    <s v="Single"/>
    <n v="3"/>
    <n v="7"/>
    <s v="Instagram"/>
    <n v="1"/>
    <s v="6.7"/>
    <s v="OK"/>
    <b v="1"/>
    <s v="High"/>
    <s v="7"/>
    <n v="3.5"/>
    <b v="1"/>
  </r>
  <r>
    <n v="615"/>
    <n v="23"/>
    <s v="Female"/>
    <x v="1"/>
    <s v="UK"/>
    <n v="6.1"/>
    <s v="TikTok"/>
    <s v="Yes"/>
    <n v="6.4"/>
    <n v="5"/>
    <s v="Single"/>
    <n v="4"/>
    <n v="8"/>
    <s v="Tiktok"/>
    <n v="2"/>
    <s v="6.4"/>
    <s v="OK"/>
    <b v="1"/>
    <s v="High"/>
    <s v="8"/>
    <n v="3.5"/>
    <b v="1"/>
  </r>
  <r>
    <n v="616"/>
    <n v="20"/>
    <s v="Male"/>
    <x v="0"/>
    <s v="Italy"/>
    <n v="4.5999999999999996"/>
    <s v="Facebook"/>
    <s v="No"/>
    <n v="7.2"/>
    <n v="7"/>
    <s v="In Relationship"/>
    <n v="2"/>
    <n v="5"/>
    <s v="Facebook"/>
    <n v="0"/>
    <s v="7.2"/>
    <s v="OK"/>
    <s v="medium"/>
    <s v="Medium"/>
    <s v="5"/>
    <n v="3.5"/>
    <b v="1"/>
  </r>
  <r>
    <n v="617"/>
    <n v="22"/>
    <s v="Female"/>
    <x v="1"/>
    <s v="Russia"/>
    <n v="6.8"/>
    <s v="Instagram"/>
    <s v="Yes"/>
    <n v="5.9"/>
    <n v="4"/>
    <s v="Single"/>
    <n v="5"/>
    <n v="9"/>
    <s v="Instagram"/>
    <n v="1"/>
    <s v="5.9"/>
    <s v="OK"/>
    <b v="1"/>
    <s v="High"/>
    <s v="9"/>
    <n v="3.5"/>
    <b v="1"/>
  </r>
  <r>
    <n v="618"/>
    <n v="19"/>
    <s v="Male"/>
    <x v="0"/>
    <s v="China"/>
    <n v="5.6"/>
    <s v="WeChat"/>
    <s v="Yes"/>
    <n v="6.8"/>
    <n v="6"/>
    <s v="In Relationship"/>
    <n v="3"/>
    <n v="7"/>
    <s v="Wechat"/>
    <n v="1"/>
    <s v="6.8"/>
    <s v="OK"/>
    <b v="1"/>
    <s v="High"/>
    <s v="7"/>
    <n v="3.5"/>
    <b v="1"/>
  </r>
  <r>
    <n v="619"/>
    <n v="24"/>
    <s v="Female"/>
    <x v="1"/>
    <s v="Japan"/>
    <n v="4.2"/>
    <s v="Twitter"/>
    <s v="No"/>
    <n v="7.5"/>
    <n v="8"/>
    <s v="Single"/>
    <n v="2"/>
    <n v="4"/>
    <s v="Twitter"/>
    <n v="3"/>
    <s v="7.5"/>
    <s v="OK"/>
    <s v="medium"/>
    <s v="Low"/>
    <s v="4"/>
    <n v="3.5"/>
    <b v="1"/>
  </r>
  <r>
    <n v="620"/>
    <n v="21"/>
    <s v="Male"/>
    <x v="0"/>
    <s v="Poland"/>
    <n v="6.3"/>
    <s v="TikTok"/>
    <s v="Yes"/>
    <n v="6.3"/>
    <n v="5"/>
    <s v="Single"/>
    <n v="4"/>
    <n v="8"/>
    <s v="Tiktok"/>
    <n v="2"/>
    <s v="6.3"/>
    <s v="OK"/>
    <b v="1"/>
    <s v="High"/>
    <s v="8"/>
    <n v="3.5"/>
    <b v="1"/>
  </r>
  <r>
    <n v="621"/>
    <n v="23"/>
    <s v="Female"/>
    <x v="1"/>
    <s v="Finland"/>
    <n v="4.4000000000000004"/>
    <s v="Instagram"/>
    <s v="No"/>
    <n v="7.4"/>
    <n v="7"/>
    <s v="In Relationship"/>
    <n v="2"/>
    <n v="5"/>
    <s v="Instagram"/>
    <n v="1"/>
    <s v="7.4"/>
    <s v="OK"/>
    <s v="medium"/>
    <s v="Medium"/>
    <s v="5"/>
    <n v="3.5"/>
    <b v="1"/>
  </r>
  <r>
    <n v="622"/>
    <n v="20"/>
    <s v="Male"/>
    <x v="0"/>
    <s v="Spain"/>
    <n v="6.5"/>
    <s v="Facebook"/>
    <s v="Yes"/>
    <n v="6.2"/>
    <n v="5"/>
    <s v="Single"/>
    <n v="4"/>
    <n v="8"/>
    <s v="Facebook"/>
    <n v="0"/>
    <s v="6.2"/>
    <s v="OK"/>
    <b v="1"/>
    <s v="High"/>
    <s v="8"/>
    <n v="3.5"/>
    <b v="1"/>
  </r>
  <r>
    <n v="623"/>
    <n v="22"/>
    <s v="Female"/>
    <x v="1"/>
    <s v="Denmark"/>
    <n v="4.5999999999999996"/>
    <s v="Twitter"/>
    <s v="No"/>
    <n v="7.3"/>
    <n v="7"/>
    <s v="In Relationship"/>
    <n v="2"/>
    <n v="5"/>
    <s v="Twitter"/>
    <n v="3"/>
    <s v="7.3"/>
    <s v="OK"/>
    <s v="medium"/>
    <s v="Medium"/>
    <s v="5"/>
    <n v="3.5"/>
    <b v="1"/>
  </r>
  <r>
    <n v="624"/>
    <n v="19"/>
    <s v="Male"/>
    <x v="0"/>
    <s v="Ireland"/>
    <n v="5.8"/>
    <s v="Instagram"/>
    <s v="Yes"/>
    <n v="6.6"/>
    <n v="6"/>
    <s v="Single"/>
    <n v="3"/>
    <n v="7"/>
    <s v="Instagram"/>
    <n v="1"/>
    <s v="6.6"/>
    <s v="OK"/>
    <b v="1"/>
    <s v="High"/>
    <s v="7"/>
    <n v="3.4"/>
    <b v="1"/>
  </r>
  <r>
    <n v="625"/>
    <n v="24"/>
    <s v="Female"/>
    <x v="1"/>
    <s v="India"/>
    <n v="7"/>
    <s v="TikTok"/>
    <s v="Yes"/>
    <n v="5.8"/>
    <n v="4"/>
    <s v="Single"/>
    <n v="5"/>
    <n v="9"/>
    <s v="Tiktok"/>
    <n v="2"/>
    <s v="5.8"/>
    <s v="OK"/>
    <b v="1"/>
    <s v="High"/>
    <s v="9"/>
    <n v="3.4"/>
    <b v="1"/>
  </r>
  <r>
    <n v="626"/>
    <n v="21"/>
    <s v="Male"/>
    <x v="0"/>
    <s v="Switzerland"/>
    <n v="4.5"/>
    <s v="Facebook"/>
    <s v="No"/>
    <n v="7.3"/>
    <n v="7"/>
    <s v="In Relationship"/>
    <n v="2"/>
    <n v="5"/>
    <s v="Facebook"/>
    <n v="0"/>
    <s v="7.3"/>
    <s v="OK"/>
    <s v="medium"/>
    <s v="Medium"/>
    <s v="5"/>
    <n v="3.4"/>
    <b v="1"/>
  </r>
  <r>
    <n v="627"/>
    <n v="23"/>
    <s v="Female"/>
    <x v="1"/>
    <s v="Turkey"/>
    <n v="6.7"/>
    <s v="Instagram"/>
    <s v="Yes"/>
    <n v="6.1"/>
    <n v="5"/>
    <s v="Single"/>
    <n v="4"/>
    <n v="8"/>
    <s v="Instagram"/>
    <n v="1"/>
    <s v="6.1"/>
    <s v="OK"/>
    <b v="1"/>
    <s v="High"/>
    <s v="8"/>
    <n v="3.4"/>
    <b v="1"/>
  </r>
  <r>
    <n v="628"/>
    <n v="20"/>
    <s v="Male"/>
    <x v="0"/>
    <s v="USA"/>
    <n v="5.5"/>
    <s v="Twitter"/>
    <s v="Yes"/>
    <n v="6.8"/>
    <n v="6"/>
    <s v="In Relationship"/>
    <n v="3"/>
    <n v="7"/>
    <s v="Twitter"/>
    <n v="3"/>
    <s v="6.8"/>
    <s v="OK"/>
    <b v="1"/>
    <s v="High"/>
    <s v="7"/>
    <n v="3.4"/>
    <b v="1"/>
  </r>
  <r>
    <n v="629"/>
    <n v="22"/>
    <s v="Female"/>
    <x v="1"/>
    <s v="Mexico"/>
    <n v="6.4"/>
    <s v="Facebook"/>
    <s v="Yes"/>
    <n v="6.2"/>
    <n v="5"/>
    <s v="Single"/>
    <n v="4"/>
    <n v="8"/>
    <s v="Facebook"/>
    <n v="0"/>
    <s v="6.2"/>
    <s v="OK"/>
    <b v="1"/>
    <s v="High"/>
    <s v="8"/>
    <n v="3.4"/>
    <b v="1"/>
  </r>
  <r>
    <n v="630"/>
    <n v="19"/>
    <s v="Male"/>
    <x v="0"/>
    <s v="France"/>
    <n v="4.7"/>
    <s v="Instagram"/>
    <s v="No"/>
    <n v="7.2"/>
    <n v="7"/>
    <s v="In Relationship"/>
    <n v="2"/>
    <n v="5"/>
    <s v="Instagram"/>
    <n v="1"/>
    <s v="7.2"/>
    <s v="OK"/>
    <s v="medium"/>
    <s v="Medium"/>
    <s v="5"/>
    <n v="3.4"/>
    <b v="1"/>
  </r>
  <r>
    <n v="631"/>
    <n v="24"/>
    <s v="Female"/>
    <x v="1"/>
    <s v="Canada"/>
    <n v="5.6"/>
    <s v="TikTok"/>
    <s v="Yes"/>
    <n v="6.7"/>
    <n v="6"/>
    <s v="Single"/>
    <n v="3"/>
    <n v="7"/>
    <s v="Tiktok"/>
    <n v="2"/>
    <s v="6.7"/>
    <s v="OK"/>
    <b v="1"/>
    <s v="High"/>
    <s v="7"/>
    <n v="3.4"/>
    <b v="1"/>
  </r>
  <r>
    <n v="632"/>
    <n v="21"/>
    <s v="Male"/>
    <x v="0"/>
    <s v="UK"/>
    <n v="6.2"/>
    <s v="Facebook"/>
    <s v="Yes"/>
    <n v="6.3"/>
    <n v="5"/>
    <s v="Single"/>
    <n v="4"/>
    <n v="8"/>
    <s v="Facebook"/>
    <n v="0"/>
    <s v="6.3"/>
    <s v="OK"/>
    <b v="1"/>
    <s v="High"/>
    <s v="8"/>
    <n v="3.3"/>
    <b v="1"/>
  </r>
  <r>
    <n v="633"/>
    <n v="23"/>
    <s v="Female"/>
    <x v="1"/>
    <s v="Italy"/>
    <n v="4.8"/>
    <s v="Twitter"/>
    <s v="No"/>
    <n v="7.1"/>
    <n v="7"/>
    <s v="In Relationship"/>
    <n v="2"/>
    <n v="5"/>
    <s v="Twitter"/>
    <n v="3"/>
    <s v="7.1"/>
    <s v="OK"/>
    <s v="medium"/>
    <s v="Medium"/>
    <s v="5"/>
    <n v="3.3"/>
    <b v="1"/>
  </r>
  <r>
    <n v="634"/>
    <n v="20"/>
    <s v="Male"/>
    <x v="0"/>
    <s v="Russia"/>
    <n v="6.9"/>
    <s v="Instagram"/>
    <s v="Yes"/>
    <n v="5.9"/>
    <n v="4"/>
    <s v="Single"/>
    <n v="5"/>
    <n v="9"/>
    <s v="Instagram"/>
    <n v="1"/>
    <s v="5.9"/>
    <s v="OK"/>
    <b v="1"/>
    <s v="High"/>
    <s v="9"/>
    <n v="3.3"/>
    <b v="1"/>
  </r>
  <r>
    <n v="635"/>
    <n v="22"/>
    <s v="Female"/>
    <x v="1"/>
    <s v="China"/>
    <n v="5.7"/>
    <s v="WeChat"/>
    <s v="Yes"/>
    <n v="6.7"/>
    <n v="6"/>
    <s v="In Relationship"/>
    <n v="3"/>
    <n v="7"/>
    <s v="Wechat"/>
    <n v="1"/>
    <s v="6.7"/>
    <s v="OK"/>
    <b v="1"/>
    <s v="High"/>
    <s v="7"/>
    <n v="3.3"/>
    <b v="1"/>
  </r>
  <r>
    <n v="636"/>
    <n v="19"/>
    <s v="Male"/>
    <x v="0"/>
    <s v="Japan"/>
    <n v="4.4000000000000004"/>
    <s v="Twitter"/>
    <s v="No"/>
    <n v="7.4"/>
    <n v="8"/>
    <s v="Single"/>
    <n v="2"/>
    <n v="4"/>
    <s v="Twitter"/>
    <n v="3"/>
    <s v="7.4"/>
    <s v="OK"/>
    <s v="medium"/>
    <s v="Low"/>
    <s v="4"/>
    <n v="3.3"/>
    <b v="1"/>
  </r>
  <r>
    <n v="637"/>
    <n v="24"/>
    <s v="Female"/>
    <x v="1"/>
    <s v="Poland"/>
    <n v="6.1"/>
    <s v="TikTok"/>
    <s v="Yes"/>
    <n v="6.4"/>
    <n v="5"/>
    <s v="Single"/>
    <n v="4"/>
    <n v="8"/>
    <s v="Tiktok"/>
    <n v="2"/>
    <s v="6.4"/>
    <s v="OK"/>
    <b v="1"/>
    <s v="High"/>
    <s v="8"/>
    <n v="3.3"/>
    <b v="1"/>
  </r>
  <r>
    <n v="638"/>
    <n v="21"/>
    <s v="Male"/>
    <x v="0"/>
    <s v="Finland"/>
    <n v="4.3"/>
    <s v="Instagram"/>
    <s v="No"/>
    <n v="7.5"/>
    <n v="7"/>
    <s v="In Relationship"/>
    <n v="2"/>
    <n v="5"/>
    <s v="Instagram"/>
    <n v="1"/>
    <s v="7.5"/>
    <s v="OK"/>
    <s v="medium"/>
    <s v="Medium"/>
    <s v="5"/>
    <n v="3.3"/>
    <b v="1"/>
  </r>
  <r>
    <n v="639"/>
    <n v="23"/>
    <s v="Female"/>
    <x v="1"/>
    <s v="Spain"/>
    <n v="6.4"/>
    <s v="Facebook"/>
    <s v="Yes"/>
    <n v="6.2"/>
    <n v="5"/>
    <s v="Single"/>
    <n v="4"/>
    <n v="8"/>
    <s v="Facebook"/>
    <n v="0"/>
    <s v="6.2"/>
    <s v="OK"/>
    <b v="1"/>
    <s v="High"/>
    <s v="8"/>
    <n v="3.3"/>
    <b v="1"/>
  </r>
  <r>
    <n v="640"/>
    <n v="20"/>
    <s v="Male"/>
    <x v="0"/>
    <s v="Denmark"/>
    <n v="4.5"/>
    <s v="Twitter"/>
    <s v="No"/>
    <n v="7.3"/>
    <n v="7"/>
    <s v="In Relationship"/>
    <n v="2"/>
    <n v="5"/>
    <s v="Twitter"/>
    <n v="3"/>
    <s v="7.3"/>
    <s v="OK"/>
    <s v="medium"/>
    <s v="Medium"/>
    <s v="5"/>
    <n v="3.3"/>
    <b v="1"/>
  </r>
  <r>
    <n v="641"/>
    <n v="22"/>
    <s v="Female"/>
    <x v="1"/>
    <s v="Ireland"/>
    <n v="5.9"/>
    <s v="Instagram"/>
    <s v="Yes"/>
    <n v="6.5"/>
    <n v="6"/>
    <s v="Single"/>
    <n v="3"/>
    <n v="7"/>
    <s v="Instagram"/>
    <n v="1"/>
    <s v="6.5"/>
    <s v="OK"/>
    <b v="1"/>
    <s v="High"/>
    <s v="7"/>
    <n v="3.2"/>
    <b v="1"/>
  </r>
  <r>
    <n v="642"/>
    <n v="19"/>
    <s v="Male"/>
    <x v="0"/>
    <s v="India"/>
    <n v="7.2"/>
    <s v="TikTok"/>
    <s v="Yes"/>
    <n v="5.7"/>
    <n v="4"/>
    <s v="Single"/>
    <n v="5"/>
    <n v="9"/>
    <s v="Tiktok"/>
    <n v="2"/>
    <s v="5.7"/>
    <s v="OK"/>
    <b v="1"/>
    <s v="High"/>
    <s v="9"/>
    <n v="3.2"/>
    <b v="1"/>
  </r>
  <r>
    <n v="643"/>
    <n v="24"/>
    <s v="Female"/>
    <x v="1"/>
    <s v="Switzerland"/>
    <n v="4.5999999999999996"/>
    <s v="Facebook"/>
    <s v="No"/>
    <n v="7.2"/>
    <n v="7"/>
    <s v="In Relationship"/>
    <n v="2"/>
    <n v="5"/>
    <s v="Facebook"/>
    <n v="0"/>
    <s v="7.2"/>
    <s v="OK"/>
    <s v="medium"/>
    <s v="Medium"/>
    <s v="5"/>
    <n v="3.2"/>
    <b v="1"/>
  </r>
  <r>
    <n v="644"/>
    <n v="21"/>
    <s v="Male"/>
    <x v="0"/>
    <s v="Turkey"/>
    <n v="6.8"/>
    <s v="Instagram"/>
    <s v="Yes"/>
    <n v="6"/>
    <n v="5"/>
    <s v="Single"/>
    <n v="4"/>
    <n v="8"/>
    <s v="Instagram"/>
    <n v="1"/>
    <s v="6"/>
    <s v="OK"/>
    <b v="1"/>
    <s v="High"/>
    <s v="8"/>
    <n v="3.2"/>
    <b v="1"/>
  </r>
  <r>
    <n v="645"/>
    <n v="23"/>
    <s v="Female"/>
    <x v="1"/>
    <s v="USA"/>
    <n v="5.3"/>
    <s v="Twitter"/>
    <s v="Yes"/>
    <n v="6.8"/>
    <n v="6"/>
    <s v="In Relationship"/>
    <n v="3"/>
    <n v="7"/>
    <s v="Twitter"/>
    <n v="3"/>
    <s v="6.8"/>
    <s v="OK"/>
    <b v="1"/>
    <s v="High"/>
    <s v="7"/>
    <n v="3.2"/>
    <b v="1"/>
  </r>
  <r>
    <n v="646"/>
    <n v="22"/>
    <s v="Male"/>
    <x v="1"/>
    <s v="Mexico"/>
    <n v="6.3"/>
    <s v="Facebook"/>
    <s v="Yes"/>
    <n v="6.2"/>
    <n v="5"/>
    <s v="Single"/>
    <n v="4"/>
    <n v="8"/>
    <s v="Facebook"/>
    <n v="0"/>
    <s v="6.2"/>
    <s v="OK"/>
    <b v="1"/>
    <s v="High"/>
    <s v="8"/>
    <n v="3.2"/>
    <b v="1"/>
  </r>
  <r>
    <n v="647"/>
    <n v="20"/>
    <s v="Female"/>
    <x v="0"/>
    <s v="France"/>
    <n v="4.8"/>
    <s v="Instagram"/>
    <s v="No"/>
    <n v="7.1"/>
    <n v="7"/>
    <s v="In Relationship"/>
    <n v="2"/>
    <n v="5"/>
    <s v="Instagram"/>
    <n v="1"/>
    <s v="7.1"/>
    <s v="OK"/>
    <s v="medium"/>
    <s v="Medium"/>
    <s v="5"/>
    <n v="3.2"/>
    <b v="1"/>
  </r>
  <r>
    <n v="648"/>
    <n v="23"/>
    <s v="Male"/>
    <x v="1"/>
    <s v="Canada"/>
    <n v="5.7"/>
    <s v="TikTok"/>
    <s v="Yes"/>
    <n v="6.6"/>
    <n v="6"/>
    <s v="Single"/>
    <n v="3"/>
    <n v="7"/>
    <s v="Tiktok"/>
    <n v="2"/>
    <s v="6.6"/>
    <s v="OK"/>
    <b v="1"/>
    <s v="High"/>
    <s v="7"/>
    <n v="3.2"/>
    <b v="1"/>
  </r>
  <r>
    <n v="649"/>
    <n v="21"/>
    <s v="Female"/>
    <x v="0"/>
    <s v="UK"/>
    <n v="6.2"/>
    <s v="Twitter"/>
    <s v="Yes"/>
    <n v="6.3"/>
    <n v="5"/>
    <s v="Single"/>
    <n v="4"/>
    <n v="8"/>
    <s v="Twitter"/>
    <n v="3"/>
    <s v="6.3"/>
    <s v="OK"/>
    <b v="1"/>
    <s v="High"/>
    <s v="8"/>
    <n v="3.2"/>
    <b v="1"/>
  </r>
  <r>
    <n v="650"/>
    <n v="24"/>
    <s v="Male"/>
    <x v="1"/>
    <s v="Italy"/>
    <n v="4.7"/>
    <s v="Facebook"/>
    <s v="No"/>
    <n v="7.2"/>
    <n v="7"/>
    <s v="In Relationship"/>
    <n v="2"/>
    <n v="5"/>
    <s v="Facebook"/>
    <n v="0"/>
    <s v="7.2"/>
    <s v="OK"/>
    <s v="medium"/>
    <s v="Medium"/>
    <s v="5"/>
    <n v="3.1"/>
    <b v="1"/>
  </r>
  <r>
    <n v="651"/>
    <n v="19"/>
    <s v="Female"/>
    <x v="0"/>
    <s v="Russia"/>
    <n v="6.8"/>
    <s v="Instagram"/>
    <s v="Yes"/>
    <n v="5.9"/>
    <n v="4"/>
    <s v="Single"/>
    <n v="5"/>
    <n v="9"/>
    <s v="Instagram"/>
    <n v="1"/>
    <s v="5.9"/>
    <s v="OK"/>
    <b v="1"/>
    <s v="High"/>
    <s v="9"/>
    <n v="3.1"/>
    <b v="1"/>
  </r>
  <r>
    <n v="652"/>
    <n v="22"/>
    <s v="Male"/>
    <x v="1"/>
    <s v="China"/>
    <n v="5.6"/>
    <s v="WeChat"/>
    <s v="Yes"/>
    <n v="6.7"/>
    <n v="6"/>
    <s v="In Relationship"/>
    <n v="3"/>
    <n v="7"/>
    <s v="Wechat"/>
    <n v="1"/>
    <s v="6.7"/>
    <s v="OK"/>
    <b v="1"/>
    <s v="High"/>
    <s v="7"/>
    <n v="3.1"/>
    <b v="1"/>
  </r>
  <r>
    <n v="653"/>
    <n v="20"/>
    <s v="Female"/>
    <x v="0"/>
    <s v="Japan"/>
    <n v="4.3"/>
    <s v="Twitter"/>
    <s v="No"/>
    <n v="7.5"/>
    <n v="8"/>
    <s v="Single"/>
    <n v="2"/>
    <n v="4"/>
    <s v="Twitter"/>
    <n v="3"/>
    <s v="7.5"/>
    <s v="OK"/>
    <s v="medium"/>
    <s v="Low"/>
    <s v="4"/>
    <n v="3.1"/>
    <b v="1"/>
  </r>
  <r>
    <n v="654"/>
    <n v="23"/>
    <s v="Male"/>
    <x v="1"/>
    <s v="Poland"/>
    <n v="6.2"/>
    <s v="TikTok"/>
    <s v="Yes"/>
    <n v="6.3"/>
    <n v="5"/>
    <s v="Single"/>
    <n v="4"/>
    <n v="8"/>
    <s v="Tiktok"/>
    <n v="2"/>
    <s v="6.3"/>
    <s v="OK"/>
    <b v="1"/>
    <s v="High"/>
    <s v="8"/>
    <n v="3.1"/>
    <b v="1"/>
  </r>
  <r>
    <n v="655"/>
    <n v="21"/>
    <s v="Female"/>
    <x v="0"/>
    <s v="Finland"/>
    <n v="4.4000000000000004"/>
    <s v="Instagram"/>
    <s v="No"/>
    <n v="7.4"/>
    <n v="7"/>
    <s v="In Relationship"/>
    <n v="2"/>
    <n v="5"/>
    <s v="Instagram"/>
    <n v="1"/>
    <s v="7.4"/>
    <s v="OK"/>
    <s v="medium"/>
    <s v="Medium"/>
    <s v="5"/>
    <n v="3.1"/>
    <b v="1"/>
  </r>
  <r>
    <n v="656"/>
    <n v="24"/>
    <s v="Male"/>
    <x v="1"/>
    <s v="Spain"/>
    <n v="6.5"/>
    <s v="Facebook"/>
    <s v="Yes"/>
    <n v="6.1"/>
    <n v="5"/>
    <s v="Single"/>
    <n v="4"/>
    <n v="8"/>
    <s v="Facebook"/>
    <n v="0"/>
    <s v="6.1"/>
    <s v="OK"/>
    <b v="1"/>
    <s v="High"/>
    <s v="8"/>
    <n v="3.1"/>
    <b v="1"/>
  </r>
  <r>
    <n v="657"/>
    <n v="19"/>
    <s v="Female"/>
    <x v="0"/>
    <s v="Denmark"/>
    <n v="4.5999999999999996"/>
    <s v="Twitter"/>
    <s v="No"/>
    <n v="7.3"/>
    <n v="7"/>
    <s v="In Relationship"/>
    <n v="2"/>
    <n v="5"/>
    <s v="Twitter"/>
    <n v="3"/>
    <s v="7.3"/>
    <s v="OK"/>
    <s v="medium"/>
    <s v="Medium"/>
    <s v="5"/>
    <n v="3"/>
    <b v="1"/>
  </r>
  <r>
    <n v="658"/>
    <n v="22"/>
    <s v="Male"/>
    <x v="1"/>
    <s v="Ireland"/>
    <n v="5.8"/>
    <s v="Instagram"/>
    <s v="Yes"/>
    <n v="6.6"/>
    <n v="6"/>
    <s v="Single"/>
    <n v="3"/>
    <n v="7"/>
    <s v="Instagram"/>
    <n v="1"/>
    <s v="6.6"/>
    <s v="OK"/>
    <b v="1"/>
    <s v="High"/>
    <s v="7"/>
    <n v="3"/>
    <b v="1"/>
  </r>
  <r>
    <n v="659"/>
    <n v="20"/>
    <s v="Female"/>
    <x v="0"/>
    <s v="India"/>
    <n v="7.1"/>
    <s v="TikTok"/>
    <s v="Yes"/>
    <n v="5.8"/>
    <n v="4"/>
    <s v="Single"/>
    <n v="5"/>
    <n v="9"/>
    <s v="Tiktok"/>
    <n v="2"/>
    <s v="5.8"/>
    <s v="OK"/>
    <b v="1"/>
    <s v="High"/>
    <s v="9"/>
    <n v="3"/>
    <b v="1"/>
  </r>
  <r>
    <n v="660"/>
    <n v="23"/>
    <s v="Male"/>
    <x v="1"/>
    <s v="Switzerland"/>
    <n v="4.5"/>
    <s v="Facebook"/>
    <s v="No"/>
    <n v="7.3"/>
    <n v="7"/>
    <s v="In Relationship"/>
    <n v="2"/>
    <n v="5"/>
    <s v="Facebook"/>
    <n v="0"/>
    <s v="7.3"/>
    <s v="OK"/>
    <s v="medium"/>
    <s v="Medium"/>
    <s v="5"/>
    <n v="3"/>
    <b v="1"/>
  </r>
  <r>
    <n v="661"/>
    <n v="21"/>
    <s v="Female"/>
    <x v="0"/>
    <s v="Turkey"/>
    <n v="6.7"/>
    <s v="Instagram"/>
    <s v="Yes"/>
    <n v="6"/>
    <n v="5"/>
    <s v="Single"/>
    <n v="4"/>
    <n v="8"/>
    <s v="Instagram"/>
    <n v="1"/>
    <s v="6"/>
    <s v="OK"/>
    <b v="1"/>
    <s v="High"/>
    <s v="8"/>
    <n v="3"/>
    <b v="1"/>
  </r>
  <r>
    <n v="662"/>
    <n v="24"/>
    <s v="Male"/>
    <x v="1"/>
    <s v="USA"/>
    <n v="5.4"/>
    <s v="Twitter"/>
    <s v="Yes"/>
    <n v="6.8"/>
    <n v="6"/>
    <s v="In Relationship"/>
    <n v="3"/>
    <n v="7"/>
    <s v="Twitter"/>
    <n v="3"/>
    <s v="6.8"/>
    <s v="OK"/>
    <b v="1"/>
    <s v="High"/>
    <s v="7"/>
    <n v="3"/>
    <b v="1"/>
  </r>
  <r>
    <n v="663"/>
    <n v="19"/>
    <s v="Female"/>
    <x v="0"/>
    <s v="Mexico"/>
    <n v="6.4"/>
    <s v="TikTok"/>
    <s v="Yes"/>
    <n v="6.2"/>
    <n v="5"/>
    <s v="Single"/>
    <n v="4"/>
    <n v="8"/>
    <s v="Tiktok"/>
    <n v="2"/>
    <s v="6.2"/>
    <s v="OK"/>
    <b v="1"/>
    <s v="High"/>
    <s v="8"/>
    <n v="2.9"/>
    <b v="1"/>
  </r>
  <r>
    <n v="664"/>
    <n v="22"/>
    <s v="Male"/>
    <x v="1"/>
    <s v="France"/>
    <n v="4.7"/>
    <s v="Facebook"/>
    <s v="No"/>
    <n v="7.2"/>
    <n v="7"/>
    <s v="In Relationship"/>
    <n v="2"/>
    <n v="5"/>
    <s v="Facebook"/>
    <n v="0"/>
    <s v="7.2"/>
    <s v="OK"/>
    <s v="medium"/>
    <s v="Medium"/>
    <s v="5"/>
    <n v="2.9"/>
    <b v="1"/>
  </r>
  <r>
    <n v="665"/>
    <n v="20"/>
    <s v="Female"/>
    <x v="0"/>
    <s v="Canada"/>
    <n v="5.6"/>
    <s v="Instagram"/>
    <s v="Yes"/>
    <n v="6.7"/>
    <n v="6"/>
    <s v="Single"/>
    <n v="3"/>
    <n v="7"/>
    <s v="Instagram"/>
    <n v="1"/>
    <s v="6.7"/>
    <s v="OK"/>
    <b v="1"/>
    <s v="High"/>
    <s v="7"/>
    <n v="2.9"/>
    <b v="1"/>
  </r>
  <r>
    <n v="666"/>
    <n v="23"/>
    <s v="Male"/>
    <x v="1"/>
    <s v="UK"/>
    <n v="6.3"/>
    <s v="Twitter"/>
    <s v="Yes"/>
    <n v="6.2"/>
    <n v="5"/>
    <s v="Single"/>
    <n v="4"/>
    <n v="8"/>
    <s v="Twitter"/>
    <n v="3"/>
    <s v="6.2"/>
    <s v="OK"/>
    <b v="1"/>
    <s v="High"/>
    <s v="8"/>
    <n v="2.9"/>
    <b v="1"/>
  </r>
  <r>
    <n v="667"/>
    <n v="21"/>
    <s v="Female"/>
    <x v="0"/>
    <s v="Italy"/>
    <n v="4.8"/>
    <s v="TikTok"/>
    <s v="No"/>
    <n v="7.1"/>
    <n v="7"/>
    <s v="In Relationship"/>
    <n v="2"/>
    <n v="5"/>
    <s v="Tiktok"/>
    <n v="2"/>
    <s v="7.1"/>
    <s v="OK"/>
    <s v="medium"/>
    <s v="Medium"/>
    <s v="5"/>
    <n v="2.9"/>
    <b v="1"/>
  </r>
  <r>
    <n v="668"/>
    <n v="24"/>
    <s v="Male"/>
    <x v="1"/>
    <s v="Russia"/>
    <n v="6.9"/>
    <s v="Instagram"/>
    <s v="Yes"/>
    <n v="5.9"/>
    <n v="4"/>
    <s v="Single"/>
    <n v="5"/>
    <n v="9"/>
    <s v="Instagram"/>
    <n v="1"/>
    <s v="5.9"/>
    <s v="OK"/>
    <b v="1"/>
    <s v="High"/>
    <s v="9"/>
    <n v="2.9"/>
    <b v="1"/>
  </r>
  <r>
    <n v="669"/>
    <n v="19"/>
    <s v="Female"/>
    <x v="0"/>
    <s v="China"/>
    <n v="5.7"/>
    <s v="WeChat"/>
    <s v="Yes"/>
    <n v="6.7"/>
    <n v="6"/>
    <s v="In Relationship"/>
    <n v="3"/>
    <n v="7"/>
    <s v="Wechat"/>
    <n v="1"/>
    <s v="6.7"/>
    <s v="OK"/>
    <b v="1"/>
    <s v="High"/>
    <s v="7"/>
    <n v="2.9"/>
    <b v="1"/>
  </r>
  <r>
    <n v="670"/>
    <n v="22"/>
    <s v="Male"/>
    <x v="1"/>
    <s v="Japan"/>
    <n v="4.4000000000000004"/>
    <s v="Twitter"/>
    <s v="No"/>
    <n v="7.4"/>
    <n v="8"/>
    <s v="Single"/>
    <n v="2"/>
    <n v="4"/>
    <s v="Twitter"/>
    <n v="3"/>
    <s v="7.4"/>
    <s v="OK"/>
    <s v="medium"/>
    <s v="Low"/>
    <s v="4"/>
    <n v="2.8"/>
    <b v="1"/>
  </r>
  <r>
    <n v="671"/>
    <n v="20"/>
    <s v="Female"/>
    <x v="0"/>
    <s v="Poland"/>
    <n v="6.1"/>
    <s v="Facebook"/>
    <s v="Yes"/>
    <n v="6.4"/>
    <n v="5"/>
    <s v="Single"/>
    <n v="4"/>
    <n v="8"/>
    <s v="Facebook"/>
    <n v="0"/>
    <s v="6.4"/>
    <s v="OK"/>
    <b v="1"/>
    <s v="High"/>
    <s v="8"/>
    <n v="2.8"/>
    <b v="1"/>
  </r>
  <r>
    <n v="672"/>
    <n v="23"/>
    <s v="Male"/>
    <x v="1"/>
    <s v="Finland"/>
    <n v="4.3"/>
    <s v="Instagram"/>
    <s v="No"/>
    <n v="7.5"/>
    <n v="7"/>
    <s v="In Relationship"/>
    <n v="2"/>
    <n v="5"/>
    <s v="Instagram"/>
    <n v="1"/>
    <s v="7.5"/>
    <s v="OK"/>
    <s v="medium"/>
    <s v="Medium"/>
    <s v="5"/>
    <n v="2.8"/>
    <b v="1"/>
  </r>
  <r>
    <n v="673"/>
    <n v="21"/>
    <s v="Female"/>
    <x v="0"/>
    <s v="Spain"/>
    <n v="6.4"/>
    <s v="TikTok"/>
    <s v="Yes"/>
    <n v="6.2"/>
    <n v="5"/>
    <s v="Single"/>
    <n v="4"/>
    <n v="8"/>
    <s v="Tiktok"/>
    <n v="2"/>
    <s v="6.2"/>
    <s v="OK"/>
    <b v="1"/>
    <s v="High"/>
    <s v="8"/>
    <n v="2.8"/>
    <b v="1"/>
  </r>
  <r>
    <n v="674"/>
    <n v="24"/>
    <s v="Male"/>
    <x v="1"/>
    <s v="Denmark"/>
    <n v="4.5"/>
    <s v="Twitter"/>
    <s v="No"/>
    <n v="7.3"/>
    <n v="7"/>
    <s v="In Relationship"/>
    <n v="2"/>
    <n v="5"/>
    <s v="Twitter"/>
    <n v="3"/>
    <s v="7.3"/>
    <s v="OK"/>
    <s v="medium"/>
    <s v="Medium"/>
    <s v="5"/>
    <n v="2.8"/>
    <b v="1"/>
  </r>
  <r>
    <n v="675"/>
    <n v="19"/>
    <s v="Female"/>
    <x v="0"/>
    <s v="Ireland"/>
    <n v="5.9"/>
    <s v="Instagram"/>
    <s v="Yes"/>
    <n v="6.5"/>
    <n v="6"/>
    <s v="Single"/>
    <n v="3"/>
    <n v="7"/>
    <s v="Instagram"/>
    <n v="1"/>
    <s v="6.5"/>
    <s v="OK"/>
    <b v="1"/>
    <s v="High"/>
    <s v="7"/>
    <n v="2.8"/>
    <b v="1"/>
  </r>
  <r>
    <n v="676"/>
    <n v="22"/>
    <s v="Male"/>
    <x v="1"/>
    <s v="India"/>
    <n v="7.2"/>
    <s v="Facebook"/>
    <s v="Yes"/>
    <n v="5.7"/>
    <n v="4"/>
    <s v="Single"/>
    <n v="5"/>
    <n v="9"/>
    <s v="Facebook"/>
    <n v="0"/>
    <s v="5.7"/>
    <s v="OK"/>
    <b v="1"/>
    <s v="High"/>
    <s v="9"/>
    <n v="2.8"/>
    <b v="1"/>
  </r>
  <r>
    <n v="677"/>
    <n v="20"/>
    <s v="Female"/>
    <x v="0"/>
    <s v="Switzerland"/>
    <n v="4.5999999999999996"/>
    <s v="TikTok"/>
    <s v="No"/>
    <n v="7.2"/>
    <n v="7"/>
    <s v="In Relationship"/>
    <n v="2"/>
    <n v="5"/>
    <s v="Tiktok"/>
    <n v="2"/>
    <s v="7.2"/>
    <s v="OK"/>
    <s v="medium"/>
    <s v="Medium"/>
    <s v="5"/>
    <n v="2.8"/>
    <b v="1"/>
  </r>
  <r>
    <n v="678"/>
    <n v="23"/>
    <s v="Male"/>
    <x v="1"/>
    <s v="Turkey"/>
    <n v="6.8"/>
    <s v="Instagram"/>
    <s v="Yes"/>
    <n v="6"/>
    <n v="5"/>
    <s v="Single"/>
    <n v="4"/>
    <n v="8"/>
    <s v="Instagram"/>
    <n v="1"/>
    <s v="6"/>
    <s v="OK"/>
    <b v="1"/>
    <s v="High"/>
    <s v="8"/>
    <n v="2.7"/>
    <b v="1"/>
  </r>
  <r>
    <n v="679"/>
    <n v="21"/>
    <s v="Female"/>
    <x v="0"/>
    <s v="USA"/>
    <n v="5.3"/>
    <s v="Twitter"/>
    <s v="Yes"/>
    <n v="6.8"/>
    <n v="6"/>
    <s v="In Relationship"/>
    <n v="3"/>
    <n v="7"/>
    <s v="Twitter"/>
    <n v="3"/>
    <s v="6.8"/>
    <s v="OK"/>
    <b v="1"/>
    <s v="High"/>
    <s v="7"/>
    <n v="2.7"/>
    <b v="1"/>
  </r>
  <r>
    <n v="680"/>
    <n v="24"/>
    <s v="Male"/>
    <x v="1"/>
    <s v="Mexico"/>
    <n v="6.2"/>
    <s v="Facebook"/>
    <s v="Yes"/>
    <n v="6.3"/>
    <n v="5"/>
    <s v="Single"/>
    <n v="4"/>
    <n v="8"/>
    <s v="Facebook"/>
    <n v="0"/>
    <s v="6.3"/>
    <s v="OK"/>
    <b v="1"/>
    <s v="High"/>
    <s v="8"/>
    <n v="2.7"/>
    <b v="1"/>
  </r>
  <r>
    <n v="681"/>
    <n v="19"/>
    <s v="Female"/>
    <x v="0"/>
    <s v="France"/>
    <n v="4.7"/>
    <s v="Instagram"/>
    <s v="No"/>
    <n v="7.2"/>
    <n v="7"/>
    <s v="In Relationship"/>
    <n v="2"/>
    <n v="5"/>
    <s v="Instagram"/>
    <n v="1"/>
    <s v="7.2"/>
    <s v="OK"/>
    <s v="medium"/>
    <s v="Medium"/>
    <s v="5"/>
    <n v="2.7"/>
    <b v="1"/>
  </r>
  <r>
    <n v="682"/>
    <n v="22"/>
    <s v="Male"/>
    <x v="1"/>
    <s v="Canada"/>
    <n v="5.8"/>
    <s v="TikTok"/>
    <s v="Yes"/>
    <n v="6.6"/>
    <n v="6"/>
    <s v="Single"/>
    <n v="3"/>
    <n v="7"/>
    <s v="Tiktok"/>
    <n v="2"/>
    <s v="6.6"/>
    <s v="OK"/>
    <b v="1"/>
    <s v="High"/>
    <s v="7"/>
    <n v="2.7"/>
    <b v="1"/>
  </r>
  <r>
    <n v="683"/>
    <n v="20"/>
    <s v="Female"/>
    <x v="0"/>
    <s v="UK"/>
    <n v="6.1"/>
    <s v="Twitter"/>
    <s v="Yes"/>
    <n v="6.4"/>
    <n v="5"/>
    <s v="Single"/>
    <n v="4"/>
    <n v="8"/>
    <s v="Twitter"/>
    <n v="3"/>
    <s v="6.4"/>
    <s v="OK"/>
    <b v="1"/>
    <s v="High"/>
    <s v="8"/>
    <n v="2.6"/>
    <b v="1"/>
  </r>
  <r>
    <n v="684"/>
    <n v="23"/>
    <s v="Male"/>
    <x v="1"/>
    <s v="Italy"/>
    <n v="4.8"/>
    <s v="Facebook"/>
    <s v="No"/>
    <n v="7.1"/>
    <n v="7"/>
    <s v="In Relationship"/>
    <n v="2"/>
    <n v="5"/>
    <s v="Facebook"/>
    <n v="0"/>
    <s v="7.1"/>
    <s v="OK"/>
    <s v="medium"/>
    <s v="Medium"/>
    <s v="5"/>
    <n v="2.6"/>
    <b v="1"/>
  </r>
  <r>
    <n v="685"/>
    <n v="21"/>
    <s v="Female"/>
    <x v="0"/>
    <s v="Russia"/>
    <n v="6.7"/>
    <s v="Instagram"/>
    <s v="Yes"/>
    <n v="6"/>
    <n v="4"/>
    <s v="Single"/>
    <n v="5"/>
    <n v="9"/>
    <s v="Instagram"/>
    <n v="1"/>
    <s v="6"/>
    <s v="OK"/>
    <b v="1"/>
    <s v="High"/>
    <s v="9"/>
    <n v="2.6"/>
    <b v="1"/>
  </r>
  <r>
    <n v="686"/>
    <n v="24"/>
    <s v="Male"/>
    <x v="1"/>
    <s v="China"/>
    <n v="5.5"/>
    <s v="WeChat"/>
    <s v="Yes"/>
    <n v="6.8"/>
    <n v="6"/>
    <s v="In Relationship"/>
    <n v="3"/>
    <n v="7"/>
    <s v="Wechat"/>
    <n v="1"/>
    <s v="6.8"/>
    <s v="OK"/>
    <b v="1"/>
    <s v="High"/>
    <s v="7"/>
    <n v="2.6"/>
    <b v="1"/>
  </r>
  <r>
    <n v="687"/>
    <n v="19"/>
    <s v="Female"/>
    <x v="0"/>
    <s v="Japan"/>
    <n v="4.2"/>
    <s v="Twitter"/>
    <s v="No"/>
    <n v="7.5"/>
    <n v="8"/>
    <s v="Single"/>
    <n v="2"/>
    <n v="4"/>
    <s v="Twitter"/>
    <n v="3"/>
    <s v="7.5"/>
    <s v="OK"/>
    <s v="medium"/>
    <s v="Low"/>
    <s v="4"/>
    <n v="2.6"/>
    <b v="1"/>
  </r>
  <r>
    <n v="688"/>
    <n v="22"/>
    <s v="Male"/>
    <x v="1"/>
    <s v="Poland"/>
    <n v="6.3"/>
    <s v="TikTok"/>
    <s v="Yes"/>
    <n v="6.2"/>
    <n v="5"/>
    <s v="Single"/>
    <n v="4"/>
    <n v="8"/>
    <s v="Tiktok"/>
    <n v="2"/>
    <s v="6.2"/>
    <s v="OK"/>
    <b v="1"/>
    <s v="High"/>
    <s v="8"/>
    <n v="2.5"/>
    <b v="1"/>
  </r>
  <r>
    <n v="689"/>
    <n v="20"/>
    <s v="Female"/>
    <x v="0"/>
    <s v="Finland"/>
    <n v="4.4000000000000004"/>
    <s v="Instagram"/>
    <s v="No"/>
    <n v="7.4"/>
    <n v="7"/>
    <s v="In Relationship"/>
    <n v="2"/>
    <n v="5"/>
    <s v="Instagram"/>
    <n v="1"/>
    <s v="7.4"/>
    <s v="OK"/>
    <s v="medium"/>
    <s v="Medium"/>
    <s v="5"/>
    <n v="2.5"/>
    <b v="1"/>
  </r>
  <r>
    <n v="690"/>
    <n v="23"/>
    <s v="Male"/>
    <x v="1"/>
    <s v="Spain"/>
    <n v="6.5"/>
    <s v="Facebook"/>
    <s v="Yes"/>
    <n v="6.1"/>
    <n v="5"/>
    <s v="Single"/>
    <n v="4"/>
    <n v="8"/>
    <s v="Facebook"/>
    <n v="0"/>
    <s v="6.1"/>
    <s v="OK"/>
    <b v="1"/>
    <s v="High"/>
    <s v="8"/>
    <n v="2.5"/>
    <b v="1"/>
  </r>
  <r>
    <n v="691"/>
    <n v="21"/>
    <s v="Female"/>
    <x v="0"/>
    <s v="Denmark"/>
    <n v="4.5999999999999996"/>
    <s v="Twitter"/>
    <s v="No"/>
    <n v="7.3"/>
    <n v="7"/>
    <s v="In Relationship"/>
    <n v="2"/>
    <n v="5"/>
    <s v="Twitter"/>
    <n v="3"/>
    <s v="7.3"/>
    <s v="OK"/>
    <s v="medium"/>
    <s v="Medium"/>
    <s v="5"/>
    <n v="2.5"/>
    <b v="1"/>
  </r>
  <r>
    <n v="692"/>
    <n v="24"/>
    <s v="Male"/>
    <x v="1"/>
    <s v="Ireland"/>
    <n v="5.9"/>
    <s v="Instagram"/>
    <s v="Yes"/>
    <n v="6.5"/>
    <n v="6"/>
    <s v="Single"/>
    <n v="3"/>
    <n v="7"/>
    <s v="Instagram"/>
    <n v="1"/>
    <s v="6.5"/>
    <s v="OK"/>
    <b v="1"/>
    <s v="High"/>
    <s v="7"/>
    <n v="2.5"/>
    <b v="1"/>
  </r>
  <r>
    <n v="693"/>
    <n v="19"/>
    <s v="Female"/>
    <x v="0"/>
    <s v="India"/>
    <n v="7"/>
    <s v="TikTok"/>
    <s v="Yes"/>
    <n v="5.8"/>
    <n v="4"/>
    <s v="Single"/>
    <n v="5"/>
    <n v="9"/>
    <s v="Tiktok"/>
    <n v="2"/>
    <s v="5.8"/>
    <s v="OK"/>
    <b v="1"/>
    <s v="High"/>
    <s v="9"/>
    <n v="2.4"/>
    <b v="1"/>
  </r>
  <r>
    <n v="694"/>
    <n v="22"/>
    <s v="Male"/>
    <x v="1"/>
    <s v="Switzerland"/>
    <n v="4.5"/>
    <s v="Facebook"/>
    <s v="No"/>
    <n v="7.3"/>
    <n v="7"/>
    <s v="In Relationship"/>
    <n v="2"/>
    <n v="5"/>
    <s v="Facebook"/>
    <n v="0"/>
    <s v="7.3"/>
    <s v="OK"/>
    <s v="medium"/>
    <s v="Medium"/>
    <s v="5"/>
    <n v="2.4"/>
    <b v="1"/>
  </r>
  <r>
    <n v="695"/>
    <n v="20"/>
    <s v="Female"/>
    <x v="0"/>
    <s v="Turkey"/>
    <n v="6.6"/>
    <s v="Instagram"/>
    <s v="Yes"/>
    <n v="6.1"/>
    <n v="5"/>
    <s v="Single"/>
    <n v="4"/>
    <n v="8"/>
    <s v="Instagram"/>
    <n v="1"/>
    <s v="6.1"/>
    <s v="OK"/>
    <b v="1"/>
    <s v="High"/>
    <s v="8"/>
    <n v="2.4"/>
    <b v="1"/>
  </r>
  <r>
    <n v="696"/>
    <n v="23"/>
    <s v="Male"/>
    <x v="1"/>
    <s v="USA"/>
    <n v="5.5"/>
    <s v="Twitter"/>
    <s v="Yes"/>
    <n v="6.7"/>
    <n v="6"/>
    <s v="In Relationship"/>
    <n v="3"/>
    <n v="7"/>
    <s v="Twitter"/>
    <n v="3"/>
    <s v="6.7"/>
    <s v="OK"/>
    <b v="1"/>
    <s v="High"/>
    <s v="7"/>
    <n v="2.4"/>
    <b v="1"/>
  </r>
  <r>
    <n v="697"/>
    <n v="21"/>
    <s v="Female"/>
    <x v="0"/>
    <s v="Mexico"/>
    <n v="6.3"/>
    <s v="TikTok"/>
    <s v="Yes"/>
    <n v="6.2"/>
    <n v="5"/>
    <s v="Single"/>
    <n v="4"/>
    <n v="8"/>
    <s v="Tiktok"/>
    <n v="2"/>
    <s v="6.2"/>
    <s v="OK"/>
    <b v="1"/>
    <s v="High"/>
    <s v="8"/>
    <n v="2.2999999999999998"/>
    <b v="1"/>
  </r>
  <r>
    <n v="698"/>
    <n v="24"/>
    <s v="Male"/>
    <x v="1"/>
    <s v="France"/>
    <n v="4.8"/>
    <s v="Facebook"/>
    <s v="No"/>
    <n v="7.1"/>
    <n v="7"/>
    <s v="In Relationship"/>
    <n v="2"/>
    <n v="5"/>
    <s v="Facebook"/>
    <n v="0"/>
    <s v="7.1"/>
    <s v="OK"/>
    <s v="medium"/>
    <s v="Medium"/>
    <s v="5"/>
    <n v="2.2999999999999998"/>
    <b v="1"/>
  </r>
  <r>
    <n v="699"/>
    <n v="19"/>
    <s v="Female"/>
    <x v="0"/>
    <s v="Canada"/>
    <n v="5.7"/>
    <s v="Instagram"/>
    <s v="Yes"/>
    <n v="6.6"/>
    <n v="6"/>
    <s v="Single"/>
    <n v="3"/>
    <n v="7"/>
    <s v="Instagram"/>
    <n v="1"/>
    <s v="6.6"/>
    <s v="OK"/>
    <b v="1"/>
    <s v="High"/>
    <s v="7"/>
    <n v="2.2999999999999998"/>
    <b v="1"/>
  </r>
  <r>
    <n v="700"/>
    <n v="22"/>
    <s v="Male"/>
    <x v="1"/>
    <s v="UK"/>
    <n v="6.2"/>
    <s v="Twitter"/>
    <s v="Yes"/>
    <n v="6.3"/>
    <n v="5"/>
    <s v="Single"/>
    <n v="4"/>
    <n v="8"/>
    <s v="Twitter"/>
    <n v="3"/>
    <s v="6.3"/>
    <s v="OK"/>
    <b v="1"/>
    <s v="High"/>
    <s v="8"/>
    <n v="2.2999999999999998"/>
    <b v="1"/>
  </r>
  <r>
    <n v="701"/>
    <n v="20"/>
    <s v="Female"/>
    <x v="0"/>
    <s v="Italy"/>
    <n v="4.7"/>
    <s v="TikTok"/>
    <s v="No"/>
    <n v="7.2"/>
    <n v="7"/>
    <s v="In Relationship"/>
    <n v="2"/>
    <n v="5"/>
    <s v="Tiktok"/>
    <n v="2"/>
    <s v="7.2"/>
    <s v="OK"/>
    <s v="medium"/>
    <s v="Medium"/>
    <s v="5"/>
    <n v="2.2000000000000002"/>
    <b v="1"/>
  </r>
  <r>
    <n v="702"/>
    <n v="23"/>
    <s v="Male"/>
    <x v="1"/>
    <s v="Russia"/>
    <n v="6.8"/>
    <s v="Instagram"/>
    <s v="Yes"/>
    <n v="5.9"/>
    <n v="4"/>
    <s v="Single"/>
    <n v="5"/>
    <n v="9"/>
    <s v="Instagram"/>
    <n v="1"/>
    <s v="5.9"/>
    <s v="OK"/>
    <b v="1"/>
    <s v="High"/>
    <s v="9"/>
    <n v="2.2000000000000002"/>
    <b v="1"/>
  </r>
  <r>
    <n v="703"/>
    <n v="21"/>
    <s v="Female"/>
    <x v="0"/>
    <s v="China"/>
    <n v="5.6"/>
    <s v="WeChat"/>
    <s v="Yes"/>
    <n v="6.7"/>
    <n v="6"/>
    <s v="In Relationship"/>
    <n v="3"/>
    <n v="7"/>
    <s v="Wechat"/>
    <n v="1"/>
    <s v="6.7"/>
    <s v="OK"/>
    <b v="1"/>
    <s v="High"/>
    <s v="7"/>
    <n v="2.1"/>
    <b v="1"/>
  </r>
  <r>
    <n v="704"/>
    <n v="24"/>
    <s v="Male"/>
    <x v="1"/>
    <s v="Japan"/>
    <n v="4.3"/>
    <s v="Twitter"/>
    <s v="No"/>
    <n v="7.5"/>
    <n v="8"/>
    <s v="Single"/>
    <n v="2"/>
    <n v="4"/>
    <s v="Twitter"/>
    <n v="3"/>
    <s v="7.5"/>
    <s v="OK"/>
    <s v="medium"/>
    <s v="Low"/>
    <s v="4"/>
    <n v="2"/>
    <b v="1"/>
  </r>
  <r>
    <n v="705"/>
    <n v="19"/>
    <s v="Female"/>
    <x v="0"/>
    <s v="Poland"/>
    <n v="6.2"/>
    <s v="Facebook"/>
    <s v="Yes"/>
    <n v="6.3"/>
    <n v="5"/>
    <s v="Single"/>
    <n v="4"/>
    <n v="8"/>
    <s v="Facebook"/>
    <n v="0"/>
    <s v="6.3"/>
    <s v="OK"/>
    <b v="1"/>
    <s v="High"/>
    <s v="8"/>
    <n v="1.5"/>
    <b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5">
  <r>
    <n v="1"/>
    <n v="19"/>
    <s v="Female"/>
    <s v="Undergraduate"/>
    <s v="Bangladesh"/>
    <n v="5.2"/>
    <x v="0"/>
    <s v="Yes"/>
    <n v="6.5"/>
    <n v="6"/>
    <s v="In Relationship"/>
    <n v="3"/>
    <n v="8"/>
    <s v="Instagram"/>
    <n v="1"/>
    <s v="6.5"/>
    <s v="OK"/>
    <b v="1"/>
    <s v="High"/>
    <s v="8"/>
    <n v="8.5"/>
    <b v="1"/>
  </r>
  <r>
    <n v="2"/>
    <n v="22"/>
    <s v="Male"/>
    <s v="Graduate"/>
    <s v="India"/>
    <n v="2.1"/>
    <x v="1"/>
    <s v="No"/>
    <n v="7.5"/>
    <n v="8"/>
    <s v="Single"/>
    <n v="0"/>
    <n v="3"/>
    <s v="Twitter"/>
    <n v="3"/>
    <s v="7.5"/>
    <s v="OK"/>
    <s v="medium"/>
    <s v="Low"/>
    <s v="3"/>
    <n v="8.4"/>
    <b v="1"/>
  </r>
  <r>
    <n v="3"/>
    <n v="20"/>
    <s v="Female"/>
    <s v="Undergraduate"/>
    <s v="USA"/>
    <n v="6"/>
    <x v="2"/>
    <s v="Yes"/>
    <n v="5"/>
    <n v="5"/>
    <s v="Complicated"/>
    <n v="4"/>
    <n v="9"/>
    <s v="Tiktok"/>
    <n v="2"/>
    <s v="5"/>
    <s v="OK"/>
    <b v="1"/>
    <s v="High"/>
    <s v="9"/>
    <n v="8.3000000000000007"/>
    <b v="1"/>
  </r>
  <r>
    <n v="4"/>
    <n v="18"/>
    <s v="Male"/>
    <s v="High School"/>
    <s v="UK"/>
    <n v="3"/>
    <x v="3"/>
    <s v="No"/>
    <n v="7"/>
    <n v="7"/>
    <s v="Single"/>
    <n v="1"/>
    <n v="4"/>
    <s v="Youtube"/>
    <n v="1"/>
    <s v="7"/>
    <s v="OK"/>
    <s v="medium"/>
    <s v="Low"/>
    <s v="4"/>
    <n v="8.1999999999999993"/>
    <b v="1"/>
  </r>
  <r>
    <n v="5"/>
    <n v="21"/>
    <s v="Male"/>
    <s v="Graduate"/>
    <s v="Canada"/>
    <n v="4.5"/>
    <x v="4"/>
    <s v="Yes"/>
    <n v="6"/>
    <n v="6"/>
    <s v="In Relationship"/>
    <n v="2"/>
    <n v="7"/>
    <s v="Facebook"/>
    <n v="0"/>
    <s v="6"/>
    <s v="OK"/>
    <b v="1"/>
    <s v="High"/>
    <s v="7"/>
    <n v="8.1"/>
    <b v="1"/>
  </r>
  <r>
    <n v="6"/>
    <n v="19"/>
    <s v="Female"/>
    <s v="Undergraduate"/>
    <s v="Australia"/>
    <n v="7.2"/>
    <x v="0"/>
    <s v="Yes"/>
    <n v="4.5"/>
    <n v="4"/>
    <s v="Complicated"/>
    <n v="5"/>
    <n v="9"/>
    <s v="Instagram"/>
    <n v="1"/>
    <s v="4.5"/>
    <s v="LESS SLEEP"/>
    <b v="1"/>
    <s v="High"/>
    <s v="9"/>
    <n v="8"/>
    <b v="1"/>
  </r>
  <r>
    <n v="7"/>
    <n v="23"/>
    <s v="Male"/>
    <s v="Graduate"/>
    <s v="Germany"/>
    <n v="1.5"/>
    <x v="5"/>
    <s v="No"/>
    <n v="8"/>
    <n v="9"/>
    <s v="Single"/>
    <n v="0"/>
    <n v="2"/>
    <s v="Linkedin"/>
    <n v="0"/>
    <s v="8"/>
    <s v="OK"/>
    <s v="medium"/>
    <s v="Low"/>
    <s v="2"/>
    <n v="7.9"/>
    <b v="1"/>
  </r>
  <r>
    <n v="8"/>
    <n v="20"/>
    <s v="Female"/>
    <s v="Undergraduate"/>
    <s v="Brazil"/>
    <n v="5.8"/>
    <x v="6"/>
    <s v="Yes"/>
    <n v="6"/>
    <n v="6"/>
    <s v="In Relationship"/>
    <n v="2"/>
    <n v="8"/>
    <s v="Snapchat"/>
    <n v="1"/>
    <s v="6"/>
    <s v="OK"/>
    <b v="1"/>
    <s v="High"/>
    <s v="8"/>
    <n v="7.8"/>
    <b v="1"/>
  </r>
  <r>
    <n v="9"/>
    <n v="18"/>
    <s v="Male"/>
    <s v="High School"/>
    <s v="Japan"/>
    <n v="4"/>
    <x v="2"/>
    <s v="No"/>
    <n v="6.5"/>
    <n v="7"/>
    <s v="Single"/>
    <n v="1"/>
    <n v="5"/>
    <s v="Tiktok"/>
    <n v="2"/>
    <s v="6.5"/>
    <s v="OK"/>
    <s v="medium"/>
    <s v="Medium"/>
    <s v="5"/>
    <n v="7.7"/>
    <b v="1"/>
  </r>
  <r>
    <n v="10"/>
    <n v="21"/>
    <s v="Female"/>
    <s v="Graduate"/>
    <s v="South Korea"/>
    <n v="3.3"/>
    <x v="0"/>
    <s v="No"/>
    <n v="7"/>
    <n v="7"/>
    <s v="In Relationship"/>
    <n v="1"/>
    <n v="4"/>
    <s v="Instagram"/>
    <n v="1"/>
    <s v="7"/>
    <s v="OK"/>
    <s v="medium"/>
    <s v="Low"/>
    <s v="4"/>
    <n v="7.6"/>
    <b v="1"/>
  </r>
  <r>
    <n v="11"/>
    <n v="19"/>
    <s v="Male"/>
    <s v="Undergraduate"/>
    <s v="France"/>
    <n v="4.8"/>
    <x v="6"/>
    <s v="Yes"/>
    <n v="6.2"/>
    <n v="5"/>
    <s v="Complicated"/>
    <n v="3"/>
    <n v="7"/>
    <s v="Snapchat"/>
    <n v="1"/>
    <s v="6.2"/>
    <s v="OK"/>
    <b v="1"/>
    <s v="High"/>
    <s v="7"/>
    <n v="7.5"/>
    <b v="1"/>
  </r>
  <r>
    <n v="12"/>
    <n v="20"/>
    <s v="Female"/>
    <s v="Undergraduate"/>
    <s v="Spain"/>
    <n v="5.5"/>
    <x v="2"/>
    <s v="Yes"/>
    <n v="5.8"/>
    <n v="6"/>
    <s v="In Relationship"/>
    <n v="2"/>
    <n v="8"/>
    <s v="Tiktok"/>
    <n v="2"/>
    <s v="5.8"/>
    <s v="OK"/>
    <b v="1"/>
    <s v="High"/>
    <s v="8"/>
    <n v="7.5"/>
    <b v="1"/>
  </r>
  <r>
    <n v="13"/>
    <n v="22"/>
    <s v="Male"/>
    <s v="Graduate"/>
    <s v="Italy"/>
    <n v="2.8"/>
    <x v="5"/>
    <s v="No"/>
    <n v="7.2"/>
    <n v="8"/>
    <s v="Single"/>
    <n v="1"/>
    <n v="4"/>
    <s v="Linkedin"/>
    <n v="0"/>
    <s v="7.2"/>
    <s v="OK"/>
    <s v="medium"/>
    <s v="Low"/>
    <s v="4"/>
    <n v="7.4"/>
    <b v="1"/>
  </r>
  <r>
    <n v="14"/>
    <n v="18"/>
    <s v="Female"/>
    <s v="High School"/>
    <s v="Mexico"/>
    <n v="6.5"/>
    <x v="0"/>
    <s v="Yes"/>
    <n v="5.5"/>
    <n v="5"/>
    <s v="Single"/>
    <n v="4"/>
    <n v="9"/>
    <s v="Instagram"/>
    <n v="1"/>
    <s v="5.5"/>
    <s v="OK"/>
    <b v="1"/>
    <s v="High"/>
    <s v="9"/>
    <n v="7.4"/>
    <b v="1"/>
  </r>
  <r>
    <n v="15"/>
    <n v="21"/>
    <s v="Male"/>
    <s v="Undergraduate"/>
    <s v="Russia"/>
    <n v="3.7"/>
    <x v="3"/>
    <s v="No"/>
    <n v="6.8"/>
    <n v="7"/>
    <s v="In Relationship"/>
    <n v="2"/>
    <n v="5"/>
    <s v="Youtube"/>
    <n v="1"/>
    <s v="6.8"/>
    <s v="OK"/>
    <s v="medium"/>
    <s v="Medium"/>
    <s v="5"/>
    <n v="7.4"/>
    <b v="1"/>
  </r>
  <r>
    <n v="16"/>
    <n v="20"/>
    <s v="Female"/>
    <s v="Undergraduate"/>
    <s v="China"/>
    <n v="4.2"/>
    <x v="2"/>
    <s v="Yes"/>
    <n v="6"/>
    <n v="6"/>
    <s v="Complicated"/>
    <n v="3"/>
    <n v="7"/>
    <s v="Tiktok"/>
    <n v="2"/>
    <s v="6"/>
    <s v="OK"/>
    <b v="1"/>
    <s v="High"/>
    <s v="7"/>
    <n v="7.3"/>
    <b v="1"/>
  </r>
  <r>
    <n v="17"/>
    <n v="24"/>
    <s v="Male"/>
    <s v="Graduate"/>
    <s v="Sweden"/>
    <n v="2"/>
    <x v="5"/>
    <s v="No"/>
    <n v="7.8"/>
    <n v="8"/>
    <s v="Single"/>
    <n v="0"/>
    <n v="3"/>
    <s v="Linkedin"/>
    <n v="0"/>
    <s v="7.8"/>
    <s v="OK"/>
    <s v="medium"/>
    <s v="Low"/>
    <s v="3"/>
    <n v="7.3"/>
    <b v="1"/>
  </r>
  <r>
    <n v="18"/>
    <n v="19"/>
    <s v="Female"/>
    <s v="High School"/>
    <s v="Norway"/>
    <n v="5"/>
    <x v="0"/>
    <s v="Yes"/>
    <n v="5.7"/>
    <n v="5"/>
    <s v="In Relationship"/>
    <n v="3"/>
    <n v="8"/>
    <s v="Instagram"/>
    <n v="1"/>
    <s v="5.7"/>
    <s v="OK"/>
    <b v="1"/>
    <s v="High"/>
    <s v="8"/>
    <n v="7.3"/>
    <b v="1"/>
  </r>
  <r>
    <n v="19"/>
    <n v="21"/>
    <s v="Male"/>
    <s v="Undergraduate"/>
    <s v="Denmark"/>
    <n v="3.5"/>
    <x v="4"/>
    <s v="No"/>
    <n v="6.7"/>
    <n v="7"/>
    <s v="Single"/>
    <n v="1"/>
    <n v="5"/>
    <s v="Facebook"/>
    <n v="0"/>
    <s v="6.7"/>
    <s v="OK"/>
    <s v="medium"/>
    <s v="Medium"/>
    <s v="5"/>
    <n v="7.3"/>
    <b v="1"/>
  </r>
  <r>
    <n v="20"/>
    <n v="20"/>
    <s v="Female"/>
    <s v="Undergraduate"/>
    <s v="Netherlands"/>
    <n v="4.7"/>
    <x v="6"/>
    <s v="Yes"/>
    <n v="5.9"/>
    <n v="6"/>
    <s v="Complicated"/>
    <n v="3"/>
    <n v="7"/>
    <s v="Snapchat"/>
    <n v="1"/>
    <s v="5.9"/>
    <s v="OK"/>
    <b v="1"/>
    <s v="High"/>
    <s v="7"/>
    <n v="7.2"/>
    <b v="1"/>
  </r>
  <r>
    <n v="21"/>
    <n v="18"/>
    <s v="Male"/>
    <s v="High School"/>
    <s v="Belgium"/>
    <n v="5.3"/>
    <x v="2"/>
    <s v="Yes"/>
    <n v="5.5"/>
    <n v="5"/>
    <s v="Single"/>
    <n v="4"/>
    <n v="8"/>
    <s v="Tiktok"/>
    <n v="2"/>
    <s v="5.5"/>
    <s v="OK"/>
    <b v="1"/>
    <s v="High"/>
    <s v="8"/>
    <n v="7.2"/>
    <b v="1"/>
  </r>
  <r>
    <n v="22"/>
    <n v="23"/>
    <s v="Female"/>
    <s v="Graduate"/>
    <s v="Switzerland"/>
    <n v="2.5"/>
    <x v="5"/>
    <s v="No"/>
    <n v="7.3"/>
    <n v="8"/>
    <s v="In Relationship"/>
    <n v="1"/>
    <n v="4"/>
    <s v="Linkedin"/>
    <n v="0"/>
    <s v="7.3"/>
    <s v="OK"/>
    <s v="medium"/>
    <s v="Low"/>
    <s v="4"/>
    <n v="7.2"/>
    <b v="1"/>
  </r>
  <r>
    <n v="23"/>
    <n v="19"/>
    <s v="Male"/>
    <s v="Undergraduate"/>
    <s v="Austria"/>
    <n v="4.9000000000000004"/>
    <x v="0"/>
    <s v="Yes"/>
    <n v="5.8"/>
    <n v="6"/>
    <s v="Complicated"/>
    <n v="3"/>
    <n v="7"/>
    <s v="Instagram"/>
    <n v="1"/>
    <s v="5.8"/>
    <s v="OK"/>
    <b v="1"/>
    <s v="High"/>
    <s v="7"/>
    <n v="7.2"/>
    <b v="1"/>
  </r>
  <r>
    <n v="24"/>
    <n v="20"/>
    <s v="Female"/>
    <s v="Undergraduate"/>
    <s v="Portugal"/>
    <n v="5.7"/>
    <x v="2"/>
    <s v="Yes"/>
    <n v="5.4"/>
    <n v="5"/>
    <s v="Single"/>
    <n v="4"/>
    <n v="8"/>
    <s v="Tiktok"/>
    <n v="2"/>
    <s v="5.4"/>
    <s v="OK"/>
    <b v="1"/>
    <s v="High"/>
    <s v="8"/>
    <n v="7.2"/>
    <b v="1"/>
  </r>
  <r>
    <n v="25"/>
    <n v="22"/>
    <s v="Male"/>
    <s v="Graduate"/>
    <s v="Greece"/>
    <n v="3.2"/>
    <x v="4"/>
    <s v="No"/>
    <n v="6.9"/>
    <n v="7"/>
    <s v="In Relationship"/>
    <n v="2"/>
    <n v="5"/>
    <s v="Facebook"/>
    <n v="0"/>
    <s v="6.9"/>
    <s v="OK"/>
    <s v="medium"/>
    <s v="Medium"/>
    <s v="5"/>
    <n v="7.2"/>
    <b v="1"/>
  </r>
  <r>
    <n v="26"/>
    <n v="19"/>
    <s v="Female"/>
    <s v="High School"/>
    <s v="Ireland"/>
    <n v="6.1"/>
    <x v="0"/>
    <s v="Yes"/>
    <n v="5.2"/>
    <n v="5"/>
    <s v="Complicated"/>
    <n v="4"/>
    <n v="9"/>
    <s v="Instagram"/>
    <n v="1"/>
    <s v="5.2"/>
    <s v="OK"/>
    <b v="1"/>
    <s v="High"/>
    <s v="9"/>
    <n v="7.2"/>
    <b v="1"/>
  </r>
  <r>
    <n v="27"/>
    <n v="21"/>
    <s v="Male"/>
    <s v="Undergraduate"/>
    <s v="New Zealand"/>
    <n v="3.8"/>
    <x v="3"/>
    <s v="No"/>
    <n v="6.6"/>
    <n v="7"/>
    <s v="Single"/>
    <n v="1"/>
    <n v="5"/>
    <s v="Youtube"/>
    <n v="1"/>
    <s v="6.6"/>
    <s v="OK"/>
    <s v="medium"/>
    <s v="Medium"/>
    <s v="5"/>
    <n v="7.2"/>
    <b v="1"/>
  </r>
  <r>
    <n v="28"/>
    <n v="20"/>
    <s v="Female"/>
    <s v="Undergraduate"/>
    <s v="Singapore"/>
    <n v="4.4000000000000004"/>
    <x v="2"/>
    <s v="Yes"/>
    <n v="5.9"/>
    <n v="6"/>
    <s v="In Relationship"/>
    <n v="3"/>
    <n v="7"/>
    <s v="Tiktok"/>
    <n v="2"/>
    <s v="5.9"/>
    <s v="OK"/>
    <b v="1"/>
    <s v="High"/>
    <s v="7"/>
    <n v="7.1"/>
    <b v="1"/>
  </r>
  <r>
    <n v="29"/>
    <n v="24"/>
    <s v="Male"/>
    <s v="Graduate"/>
    <s v="Malaysia"/>
    <n v="2.2000000000000002"/>
    <x v="5"/>
    <s v="No"/>
    <n v="7.4"/>
    <n v="8"/>
    <s v="Single"/>
    <n v="0"/>
    <n v="3"/>
    <s v="Linkedin"/>
    <n v="0"/>
    <s v="7.4"/>
    <s v="OK"/>
    <s v="medium"/>
    <s v="Low"/>
    <s v="3"/>
    <n v="7.1"/>
    <b v="1"/>
  </r>
  <r>
    <n v="30"/>
    <n v="19"/>
    <s v="Female"/>
    <s v="High School"/>
    <s v="Thailand"/>
    <n v="5.9"/>
    <x v="0"/>
    <s v="Yes"/>
    <n v="5.3"/>
    <n v="5"/>
    <s v="Complicated"/>
    <n v="4"/>
    <n v="8"/>
    <s v="Instagram"/>
    <n v="1"/>
    <s v="5.3"/>
    <s v="OK"/>
    <b v="1"/>
    <s v="High"/>
    <s v="8"/>
    <n v="7.1"/>
    <b v="1"/>
  </r>
  <r>
    <n v="31"/>
    <n v="21"/>
    <s v="Male"/>
    <s v="Undergraduate"/>
    <s v="Vietnam"/>
    <n v="3.6"/>
    <x v="4"/>
    <s v="No"/>
    <n v="6.7"/>
    <n v="7"/>
    <s v="Single"/>
    <n v="1"/>
    <n v="5"/>
    <s v="Facebook"/>
    <n v="0"/>
    <s v="6.7"/>
    <s v="OK"/>
    <s v="medium"/>
    <s v="Medium"/>
    <s v="5"/>
    <n v="7.1"/>
    <b v="1"/>
  </r>
  <r>
    <n v="32"/>
    <n v="20"/>
    <s v="Female"/>
    <s v="Undergraduate"/>
    <s v="Philippines"/>
    <n v="4.8"/>
    <x v="6"/>
    <s v="Yes"/>
    <n v="5.7"/>
    <n v="6"/>
    <s v="In Relationship"/>
    <n v="3"/>
    <n v="7"/>
    <s v="Snapchat"/>
    <n v="1"/>
    <s v="5.7"/>
    <s v="OK"/>
    <b v="1"/>
    <s v="High"/>
    <s v="7"/>
    <n v="7.1"/>
    <b v="1"/>
  </r>
  <r>
    <n v="33"/>
    <n v="18"/>
    <s v="Male"/>
    <s v="High School"/>
    <s v="Indonesia"/>
    <n v="5.4"/>
    <x v="2"/>
    <s v="Yes"/>
    <n v="5.4"/>
    <n v="5"/>
    <s v="Complicated"/>
    <n v="4"/>
    <n v="8"/>
    <s v="Tiktok"/>
    <n v="2"/>
    <s v="5.4"/>
    <s v="OK"/>
    <b v="1"/>
    <s v="High"/>
    <s v="8"/>
    <n v="7.1"/>
    <b v="1"/>
  </r>
  <r>
    <n v="34"/>
    <n v="23"/>
    <s v="Female"/>
    <s v="Graduate"/>
    <s v="Taiwan"/>
    <n v="2.6"/>
    <x v="5"/>
    <s v="No"/>
    <n v="7.2"/>
    <n v="8"/>
    <s v="Single"/>
    <n v="1"/>
    <n v="4"/>
    <s v="Linkedin"/>
    <n v="0"/>
    <s v="7.2"/>
    <s v="OK"/>
    <s v="medium"/>
    <s v="Low"/>
    <s v="4"/>
    <n v="7.1"/>
    <b v="1"/>
  </r>
  <r>
    <n v="35"/>
    <n v="19"/>
    <s v="Male"/>
    <s v="Undergraduate"/>
    <s v="Hong Kong"/>
    <n v="4.7"/>
    <x v="0"/>
    <s v="Yes"/>
    <n v="5.8"/>
    <n v="6"/>
    <s v="In Relationship"/>
    <n v="3"/>
    <n v="7"/>
    <s v="Instagram"/>
    <n v="1"/>
    <s v="5.8"/>
    <s v="OK"/>
    <b v="1"/>
    <s v="High"/>
    <s v="7"/>
    <n v="7.1"/>
    <b v="1"/>
  </r>
  <r>
    <n v="36"/>
    <n v="20"/>
    <s v="Female"/>
    <s v="Undergraduate"/>
    <s v="Turkey"/>
    <n v="5.6"/>
    <x v="2"/>
    <s v="Yes"/>
    <n v="5.5"/>
    <n v="5"/>
    <s v="Complicated"/>
    <n v="4"/>
    <n v="8"/>
    <s v="Tiktok"/>
    <n v="2"/>
    <s v="5.5"/>
    <s v="OK"/>
    <b v="1"/>
    <s v="High"/>
    <s v="8"/>
    <n v="7"/>
    <b v="1"/>
  </r>
  <r>
    <n v="37"/>
    <n v="22"/>
    <s v="Male"/>
    <s v="Graduate"/>
    <s v="Israel"/>
    <n v="3.1"/>
    <x v="4"/>
    <s v="No"/>
    <n v="6.8"/>
    <n v="7"/>
    <s v="Single"/>
    <n v="1"/>
    <n v="5"/>
    <s v="Facebook"/>
    <n v="0"/>
    <s v="6.8"/>
    <s v="OK"/>
    <s v="medium"/>
    <s v="Medium"/>
    <s v="5"/>
    <n v="7"/>
    <b v="1"/>
  </r>
  <r>
    <n v="38"/>
    <n v="19"/>
    <s v="Female"/>
    <s v="High School"/>
    <s v="UAE"/>
    <n v="6.2"/>
    <x v="0"/>
    <s v="Yes"/>
    <n v="5.0999999999999996"/>
    <n v="5"/>
    <s v="In Relationship"/>
    <n v="4"/>
    <n v="9"/>
    <s v="Instagram"/>
    <n v="1"/>
    <s v="5.1"/>
    <s v="OK"/>
    <b v="1"/>
    <s v="High"/>
    <s v="9"/>
    <n v="7"/>
    <b v="1"/>
  </r>
  <r>
    <n v="39"/>
    <n v="21"/>
    <s v="Male"/>
    <s v="Undergraduate"/>
    <s v="Egypt"/>
    <n v="3.9"/>
    <x v="3"/>
    <s v="No"/>
    <n v="6.5"/>
    <n v="7"/>
    <s v="Complicated"/>
    <n v="2"/>
    <n v="6"/>
    <s v="Youtube"/>
    <n v="1"/>
    <s v="6.5"/>
    <s v="OK"/>
    <s v="medium"/>
    <s v="Medium"/>
    <s v="6"/>
    <n v="7"/>
    <b v="1"/>
  </r>
  <r>
    <n v="40"/>
    <n v="20"/>
    <s v="Female"/>
    <s v="Undergraduate"/>
    <s v="Morocco"/>
    <n v="4.5"/>
    <x v="2"/>
    <s v="Yes"/>
    <n v="5.8"/>
    <n v="6"/>
    <s v="Single"/>
    <n v="3"/>
    <n v="7"/>
    <s v="Tiktok"/>
    <n v="2"/>
    <s v="5.8"/>
    <s v="OK"/>
    <b v="1"/>
    <s v="High"/>
    <s v="7"/>
    <n v="7"/>
    <b v="1"/>
  </r>
  <r>
    <n v="41"/>
    <n v="24"/>
    <s v="Male"/>
    <s v="Graduate"/>
    <s v="South Africa"/>
    <n v="2.2999999999999998"/>
    <x v="5"/>
    <s v="No"/>
    <n v="7.3"/>
    <n v="8"/>
    <s v="In Relationship"/>
    <n v="1"/>
    <n v="4"/>
    <s v="Linkedin"/>
    <n v="0"/>
    <s v="7.3"/>
    <s v="OK"/>
    <s v="medium"/>
    <s v="Low"/>
    <s v="4"/>
    <n v="7"/>
    <b v="1"/>
  </r>
  <r>
    <n v="42"/>
    <n v="19"/>
    <s v="Female"/>
    <s v="High School"/>
    <s v="Nigeria"/>
    <n v="5.8"/>
    <x v="0"/>
    <s v="Yes"/>
    <n v="5.4"/>
    <n v="5"/>
    <s v="Complicated"/>
    <n v="4"/>
    <n v="8"/>
    <s v="Instagram"/>
    <n v="1"/>
    <s v="5.4"/>
    <s v="OK"/>
    <b v="1"/>
    <s v="High"/>
    <s v="8"/>
    <n v="7"/>
    <b v="1"/>
  </r>
  <r>
    <n v="43"/>
    <n v="21"/>
    <s v="Male"/>
    <s v="Undergraduate"/>
    <s v="Kenya"/>
    <n v="3.7"/>
    <x v="4"/>
    <s v="No"/>
    <n v="6.6"/>
    <n v="7"/>
    <s v="Single"/>
    <n v="2"/>
    <n v="5"/>
    <s v="Facebook"/>
    <n v="0"/>
    <s v="6.6"/>
    <s v="OK"/>
    <s v="medium"/>
    <s v="Medium"/>
    <s v="5"/>
    <n v="7"/>
    <b v="1"/>
  </r>
  <r>
    <n v="44"/>
    <n v="20"/>
    <s v="Female"/>
    <s v="Undergraduate"/>
    <s v="Ghana"/>
    <n v="4.5999999999999996"/>
    <x v="6"/>
    <s v="Yes"/>
    <n v="5.7"/>
    <n v="6"/>
    <s v="In Relationship"/>
    <n v="3"/>
    <n v="7"/>
    <s v="Snapchat"/>
    <n v="1"/>
    <s v="5.7"/>
    <s v="OK"/>
    <b v="1"/>
    <s v="High"/>
    <s v="7"/>
    <n v="7"/>
    <b v="1"/>
  </r>
  <r>
    <n v="45"/>
    <n v="18"/>
    <s v="Male"/>
    <s v="High School"/>
    <s v="Argentina"/>
    <n v="5.5"/>
    <x v="2"/>
    <s v="Yes"/>
    <n v="5.3"/>
    <n v="5"/>
    <s v="Single"/>
    <n v="4"/>
    <n v="8"/>
    <s v="Tiktok"/>
    <n v="2"/>
    <s v="5.3"/>
    <s v="OK"/>
    <b v="1"/>
    <s v="High"/>
    <s v="8"/>
    <n v="7"/>
    <b v="1"/>
  </r>
  <r>
    <n v="46"/>
    <n v="23"/>
    <s v="Female"/>
    <s v="Graduate"/>
    <s v="Chile"/>
    <n v="2.7"/>
    <x v="5"/>
    <s v="No"/>
    <n v="7.1"/>
    <n v="8"/>
    <s v="Complicated"/>
    <n v="1"/>
    <n v="4"/>
    <s v="Linkedin"/>
    <n v="0"/>
    <s v="7.1"/>
    <s v="OK"/>
    <s v="medium"/>
    <s v="Low"/>
    <s v="4"/>
    <n v="6.9"/>
    <b v="1"/>
  </r>
  <r>
    <n v="47"/>
    <n v="19"/>
    <s v="Male"/>
    <s v="Undergraduate"/>
    <s v="Colombia"/>
    <n v="4.8"/>
    <x v="0"/>
    <s v="Yes"/>
    <n v="5.9"/>
    <n v="6"/>
    <s v="In Relationship"/>
    <n v="3"/>
    <n v="7"/>
    <s v="Instagram"/>
    <n v="1"/>
    <s v="5.9"/>
    <s v="OK"/>
    <b v="1"/>
    <s v="High"/>
    <s v="7"/>
    <n v="6.9"/>
    <b v="1"/>
  </r>
  <r>
    <n v="48"/>
    <n v="20"/>
    <s v="Female"/>
    <s v="Undergraduate"/>
    <s v="Peru"/>
    <n v="5.5"/>
    <x v="2"/>
    <s v="Yes"/>
    <n v="5.6"/>
    <n v="5"/>
    <s v="Single"/>
    <n v="4"/>
    <n v="8"/>
    <s v="Tiktok"/>
    <n v="2"/>
    <s v="5.6"/>
    <s v="OK"/>
    <b v="1"/>
    <s v="High"/>
    <s v="8"/>
    <n v="6.9"/>
    <b v="1"/>
  </r>
  <r>
    <n v="49"/>
    <n v="22"/>
    <s v="Male"/>
    <s v="Graduate"/>
    <s v="Venezuela"/>
    <n v="3.3"/>
    <x v="4"/>
    <s v="No"/>
    <n v="6.7"/>
    <n v="7"/>
    <s v="In Relationship"/>
    <n v="2"/>
    <n v="5"/>
    <s v="Facebook"/>
    <n v="0"/>
    <s v="6.7"/>
    <s v="OK"/>
    <s v="medium"/>
    <s v="Medium"/>
    <s v="5"/>
    <n v="6.9"/>
    <b v="1"/>
  </r>
  <r>
    <n v="50"/>
    <n v="19"/>
    <s v="Female"/>
    <s v="High School"/>
    <s v="Ecuador"/>
    <n v="6.3"/>
    <x v="0"/>
    <s v="Yes"/>
    <n v="5.2"/>
    <n v="5"/>
    <s v="Complicated"/>
    <n v="4"/>
    <n v="9"/>
    <s v="Instagram"/>
    <n v="1"/>
    <s v="5.2"/>
    <s v="OK"/>
    <b v="1"/>
    <s v="High"/>
    <s v="9"/>
    <n v="6.9"/>
    <b v="1"/>
  </r>
  <r>
    <n v="51"/>
    <n v="21"/>
    <s v="Male"/>
    <s v="Undergraduate"/>
    <s v="Uruguay"/>
    <n v="3.8"/>
    <x v="3"/>
    <s v="No"/>
    <n v="6.4"/>
    <n v="7"/>
    <s v="Single"/>
    <n v="2"/>
    <n v="6"/>
    <s v="Youtube"/>
    <n v="1"/>
    <s v="6.4"/>
    <s v="OK"/>
    <s v="medium"/>
    <s v="Medium"/>
    <s v="6"/>
    <n v="6.9"/>
    <b v="1"/>
  </r>
  <r>
    <n v="52"/>
    <n v="20"/>
    <s v="Female"/>
    <s v="Undergraduate"/>
    <s v="Paraguay"/>
    <n v="4.7"/>
    <x v="2"/>
    <s v="Yes"/>
    <n v="5.8"/>
    <n v="6"/>
    <s v="In Relationship"/>
    <n v="3"/>
    <n v="7"/>
    <s v="Tiktok"/>
    <n v="2"/>
    <s v="5.8"/>
    <s v="OK"/>
    <b v="1"/>
    <s v="High"/>
    <s v="7"/>
    <n v="6.9"/>
    <b v="1"/>
  </r>
  <r>
    <n v="53"/>
    <n v="24"/>
    <s v="Male"/>
    <s v="Graduate"/>
    <s v="Bolivia"/>
    <n v="2.4"/>
    <x v="5"/>
    <s v="No"/>
    <n v="7.2"/>
    <n v="8"/>
    <s v="Complicated"/>
    <n v="1"/>
    <n v="4"/>
    <s v="Linkedin"/>
    <n v="0"/>
    <s v="7.2"/>
    <s v="OK"/>
    <s v="medium"/>
    <s v="Low"/>
    <s v="4"/>
    <n v="6.9"/>
    <b v="1"/>
  </r>
  <r>
    <n v="54"/>
    <n v="19"/>
    <s v="Female"/>
    <s v="High School"/>
    <s v="Costa Rica"/>
    <n v="5.7"/>
    <x v="0"/>
    <s v="Yes"/>
    <n v="5.5"/>
    <n v="5"/>
    <s v="Single"/>
    <n v="4"/>
    <n v="8"/>
    <s v="Instagram"/>
    <n v="1"/>
    <s v="5.5"/>
    <s v="OK"/>
    <b v="1"/>
    <s v="High"/>
    <s v="8"/>
    <n v="6.9"/>
    <b v="1"/>
  </r>
  <r>
    <n v="55"/>
    <n v="21"/>
    <s v="Male"/>
    <s v="Undergraduate"/>
    <s v="Panama"/>
    <n v="3.6"/>
    <x v="4"/>
    <s v="No"/>
    <n v="6.5"/>
    <n v="7"/>
    <s v="In Relationship"/>
    <n v="2"/>
    <n v="5"/>
    <s v="Facebook"/>
    <n v="0"/>
    <s v="6.5"/>
    <s v="OK"/>
    <s v="medium"/>
    <s v="Medium"/>
    <s v="5"/>
    <n v="6.9"/>
    <b v="1"/>
  </r>
  <r>
    <n v="56"/>
    <n v="20"/>
    <s v="Female"/>
    <s v="Undergraduate"/>
    <s v="Jamaica"/>
    <n v="4.9000000000000004"/>
    <x v="6"/>
    <s v="Yes"/>
    <n v="5.6"/>
    <n v="6"/>
    <s v="Complicated"/>
    <n v="3"/>
    <n v="7"/>
    <s v="Snapchat"/>
    <n v="1"/>
    <s v="5.6"/>
    <s v="OK"/>
    <b v="1"/>
    <s v="High"/>
    <s v="7"/>
    <n v="6.8"/>
    <b v="1"/>
  </r>
  <r>
    <n v="57"/>
    <n v="18"/>
    <s v="Male"/>
    <s v="High School"/>
    <s v="Trinidad"/>
    <n v="5.6"/>
    <x v="2"/>
    <s v="Yes"/>
    <n v="5.2"/>
    <n v="5"/>
    <s v="Single"/>
    <n v="4"/>
    <n v="8"/>
    <s v="Tiktok"/>
    <n v="2"/>
    <s v="5.2"/>
    <s v="OK"/>
    <b v="1"/>
    <s v="High"/>
    <s v="8"/>
    <n v="6.8"/>
    <b v="1"/>
  </r>
  <r>
    <n v="58"/>
    <n v="23"/>
    <s v="Female"/>
    <s v="Graduate"/>
    <s v="Bahamas"/>
    <n v="2.8"/>
    <x v="5"/>
    <s v="No"/>
    <n v="7"/>
    <n v="8"/>
    <s v="In Relationship"/>
    <n v="1"/>
    <n v="4"/>
    <s v="Linkedin"/>
    <n v="0"/>
    <s v="7"/>
    <s v="OK"/>
    <s v="medium"/>
    <s v="Low"/>
    <s v="4"/>
    <n v="6.8"/>
    <b v="1"/>
  </r>
  <r>
    <n v="59"/>
    <n v="19"/>
    <s v="Male"/>
    <s v="Undergraduate"/>
    <s v="Iceland"/>
    <n v="4.5999999999999996"/>
    <x v="0"/>
    <s v="Yes"/>
    <n v="5.9"/>
    <n v="6"/>
    <s v="Complicated"/>
    <n v="3"/>
    <n v="7"/>
    <s v="Instagram"/>
    <n v="1"/>
    <s v="5.9"/>
    <s v="OK"/>
    <b v="1"/>
    <s v="High"/>
    <s v="7"/>
    <n v="6.8"/>
    <b v="1"/>
  </r>
  <r>
    <n v="60"/>
    <n v="20"/>
    <s v="Female"/>
    <s v="Undergraduate"/>
    <s v="Finland"/>
    <n v="5.4"/>
    <x v="2"/>
    <s v="Yes"/>
    <n v="5.7"/>
    <n v="5"/>
    <s v="Single"/>
    <n v="4"/>
    <n v="8"/>
    <s v="Tiktok"/>
    <n v="2"/>
    <s v="5.7"/>
    <s v="OK"/>
    <b v="1"/>
    <s v="High"/>
    <s v="8"/>
    <n v="6.8"/>
    <b v="1"/>
  </r>
  <r>
    <n v="61"/>
    <n v="22"/>
    <s v="Male"/>
    <s v="Graduate"/>
    <s v="Poland"/>
    <n v="3.1"/>
    <x v="4"/>
    <s v="No"/>
    <n v="7.1"/>
    <n v="7"/>
    <s v="Single"/>
    <n v="1"/>
    <n v="5"/>
    <s v="Facebook"/>
    <n v="0"/>
    <s v="7.1"/>
    <s v="OK"/>
    <s v="medium"/>
    <s v="Medium"/>
    <s v="5"/>
    <n v="6.8"/>
    <b v="1"/>
  </r>
  <r>
    <n v="62"/>
    <n v="19"/>
    <s v="Female"/>
    <s v="Undergraduate"/>
    <s v="Romania"/>
    <n v="5.6"/>
    <x v="0"/>
    <s v="Yes"/>
    <n v="5.6"/>
    <n v="5"/>
    <s v="In Relationship"/>
    <n v="3"/>
    <n v="8"/>
    <s v="Instagram"/>
    <n v="1"/>
    <s v="5.6"/>
    <s v="OK"/>
    <b v="1"/>
    <s v="High"/>
    <s v="8"/>
    <n v="6.8"/>
    <b v="1"/>
  </r>
  <r>
    <n v="63"/>
    <n v="20"/>
    <s v="Male"/>
    <s v="Undergraduate"/>
    <s v="Hungary"/>
    <n v="4.2"/>
    <x v="2"/>
    <s v="Yes"/>
    <n v="6"/>
    <n v="6"/>
    <s v="Complicated"/>
    <n v="3"/>
    <n v="7"/>
    <s v="Tiktok"/>
    <n v="2"/>
    <s v="6"/>
    <s v="OK"/>
    <b v="1"/>
    <s v="High"/>
    <s v="7"/>
    <n v="6.8"/>
    <b v="1"/>
  </r>
  <r>
    <n v="64"/>
    <n v="18"/>
    <s v="Female"/>
    <s v="High School"/>
    <s v="Czech Republic"/>
    <n v="6.1"/>
    <x v="6"/>
    <s v="Yes"/>
    <n v="5.2"/>
    <n v="4"/>
    <s v="Single"/>
    <n v="4"/>
    <n v="9"/>
    <s v="Snapchat"/>
    <n v="1"/>
    <s v="5.2"/>
    <s v="OK"/>
    <b v="1"/>
    <s v="High"/>
    <s v="9"/>
    <n v="6.8"/>
    <b v="1"/>
  </r>
  <r>
    <n v="65"/>
    <n v="23"/>
    <s v="Male"/>
    <s v="Graduate"/>
    <s v="Slovakia"/>
    <n v="2.2999999999999998"/>
    <x v="5"/>
    <s v="No"/>
    <n v="7.4"/>
    <n v="8"/>
    <s v="In Relationship"/>
    <n v="1"/>
    <n v="3"/>
    <s v="Linkedin"/>
    <n v="0"/>
    <s v="7.4"/>
    <s v="OK"/>
    <s v="medium"/>
    <s v="Low"/>
    <s v="3"/>
    <n v="6.8"/>
    <b v="1"/>
  </r>
  <r>
    <n v="66"/>
    <n v="21"/>
    <s v="Female"/>
    <s v="Undergraduate"/>
    <s v="Croatia"/>
    <n v="4.8"/>
    <x v="0"/>
    <s v="Yes"/>
    <n v="5.8"/>
    <n v="6"/>
    <s v="Single"/>
    <n v="3"/>
    <n v="7"/>
    <s v="Instagram"/>
    <n v="1"/>
    <s v="5.8"/>
    <s v="OK"/>
    <b v="1"/>
    <s v="High"/>
    <s v="7"/>
    <n v="6.8"/>
    <b v="1"/>
  </r>
  <r>
    <n v="67"/>
    <n v="20"/>
    <s v="Male"/>
    <s v="Undergraduate"/>
    <s v="Serbia"/>
    <n v="3.9"/>
    <x v="3"/>
    <s v="No"/>
    <n v="6.5"/>
    <n v="7"/>
    <s v="Complicated"/>
    <n v="2"/>
    <n v="6"/>
    <s v="Youtube"/>
    <n v="1"/>
    <s v="6.5"/>
    <s v="OK"/>
    <s v="medium"/>
    <s v="Medium"/>
    <s v="6"/>
    <n v="6.8"/>
    <b v="1"/>
  </r>
  <r>
    <n v="68"/>
    <n v="19"/>
    <s v="Female"/>
    <s v="High School"/>
    <s v="Slovenia"/>
    <n v="5.7"/>
    <x v="2"/>
    <s v="Yes"/>
    <n v="5.4"/>
    <n v="5"/>
    <s v="In Relationship"/>
    <n v="4"/>
    <n v="8"/>
    <s v="Tiktok"/>
    <n v="2"/>
    <s v="5.4"/>
    <s v="OK"/>
    <b v="1"/>
    <s v="High"/>
    <s v="8"/>
    <n v="6.8"/>
    <b v="1"/>
  </r>
  <r>
    <n v="69"/>
    <n v="22"/>
    <s v="Male"/>
    <s v="Graduate"/>
    <s v="Bulgaria"/>
    <n v="2.8"/>
    <x v="5"/>
    <s v="No"/>
    <n v="7.2"/>
    <n v="8"/>
    <s v="Single"/>
    <n v="1"/>
    <n v="4"/>
    <s v="Linkedin"/>
    <n v="0"/>
    <s v="7.2"/>
    <s v="OK"/>
    <s v="medium"/>
    <s v="Low"/>
    <s v="4"/>
    <n v="6.7"/>
    <b v="1"/>
  </r>
  <r>
    <n v="70"/>
    <n v="20"/>
    <s v="Female"/>
    <s v="Undergraduate"/>
    <s v="Estonia"/>
    <n v="4.5"/>
    <x v="0"/>
    <s v="Yes"/>
    <n v="5.9"/>
    <n v="6"/>
    <s v="Complicated"/>
    <n v="3"/>
    <n v="7"/>
    <s v="Instagram"/>
    <n v="1"/>
    <s v="5.9"/>
    <s v="OK"/>
    <b v="1"/>
    <s v="High"/>
    <s v="7"/>
    <n v="6.7"/>
    <b v="1"/>
  </r>
  <r>
    <n v="71"/>
    <n v="18"/>
    <s v="Male"/>
    <s v="High School"/>
    <s v="Latvia"/>
    <n v="5.4"/>
    <x v="6"/>
    <s v="Yes"/>
    <n v="5.5"/>
    <n v="5"/>
    <s v="Single"/>
    <n v="4"/>
    <n v="8"/>
    <s v="Snapchat"/>
    <n v="1"/>
    <s v="5.5"/>
    <s v="OK"/>
    <b v="1"/>
    <s v="High"/>
    <s v="8"/>
    <n v="6.7"/>
    <b v="1"/>
  </r>
  <r>
    <n v="72"/>
    <n v="21"/>
    <s v="Female"/>
    <s v="Graduate"/>
    <s v="Lithuania"/>
    <n v="3.2"/>
    <x v="4"/>
    <s v="No"/>
    <n v="6.8"/>
    <n v="7"/>
    <s v="In Relationship"/>
    <n v="2"/>
    <n v="5"/>
    <s v="Facebook"/>
    <n v="0"/>
    <s v="6.8"/>
    <s v="OK"/>
    <s v="medium"/>
    <s v="Medium"/>
    <s v="5"/>
    <n v="6.7"/>
    <b v="1"/>
  </r>
  <r>
    <n v="73"/>
    <n v="19"/>
    <s v="Male"/>
    <s v="Undergraduate"/>
    <s v="Ukraine"/>
    <n v="4.9000000000000004"/>
    <x v="2"/>
    <s v="Yes"/>
    <n v="5.7"/>
    <n v="6"/>
    <s v="Complicated"/>
    <n v="3"/>
    <n v="7"/>
    <s v="Tiktok"/>
    <n v="2"/>
    <s v="5.7"/>
    <s v="OK"/>
    <b v="1"/>
    <s v="High"/>
    <s v="7"/>
    <n v="6.7"/>
    <b v="1"/>
  </r>
  <r>
    <n v="74"/>
    <n v="20"/>
    <s v="Female"/>
    <s v="Undergraduate"/>
    <s v="Moldova"/>
    <n v="5.8"/>
    <x v="0"/>
    <s v="Yes"/>
    <n v="5.3"/>
    <n v="5"/>
    <s v="Single"/>
    <n v="4"/>
    <n v="8"/>
    <s v="Instagram"/>
    <n v="1"/>
    <s v="5.3"/>
    <s v="OK"/>
    <b v="1"/>
    <s v="High"/>
    <s v="8"/>
    <n v="6.7"/>
    <b v="1"/>
  </r>
  <r>
    <n v="75"/>
    <n v="23"/>
    <s v="Male"/>
    <s v="Graduate"/>
    <s v="Belarus"/>
    <n v="2.5"/>
    <x v="5"/>
    <s v="No"/>
    <n v="7.3"/>
    <n v="8"/>
    <s v="In Relationship"/>
    <n v="1"/>
    <n v="4"/>
    <s v="Linkedin"/>
    <n v="0"/>
    <s v="7.3"/>
    <s v="OK"/>
    <s v="medium"/>
    <s v="Low"/>
    <s v="4"/>
    <n v="6.7"/>
    <b v="1"/>
  </r>
  <r>
    <n v="76"/>
    <n v="21"/>
    <s v="Female"/>
    <s v="Undergraduate"/>
    <s v="Kazakhstan"/>
    <n v="4.5999999999999996"/>
    <x v="6"/>
    <s v="Yes"/>
    <n v="5.8"/>
    <n v="6"/>
    <s v="Single"/>
    <n v="3"/>
    <n v="7"/>
    <s v="Snapchat"/>
    <n v="1"/>
    <s v="5.8"/>
    <s v="OK"/>
    <b v="1"/>
    <s v="High"/>
    <s v="7"/>
    <n v="6.7"/>
    <b v="1"/>
  </r>
  <r>
    <n v="77"/>
    <n v="19"/>
    <s v="Male"/>
    <s v="High School"/>
    <s v="Uzbekistan"/>
    <n v="5.5"/>
    <x v="2"/>
    <s v="Yes"/>
    <n v="5.4"/>
    <n v="5"/>
    <s v="Complicated"/>
    <n v="4"/>
    <n v="8"/>
    <s v="Tiktok"/>
    <n v="2"/>
    <s v="5.4"/>
    <s v="OK"/>
    <b v="1"/>
    <s v="High"/>
    <s v="8"/>
    <n v="6.7"/>
    <b v="1"/>
  </r>
  <r>
    <n v="78"/>
    <n v="22"/>
    <s v="Female"/>
    <s v="Graduate"/>
    <s v="Kyrgyzstan"/>
    <n v="2.9"/>
    <x v="4"/>
    <s v="No"/>
    <n v="7"/>
    <n v="7"/>
    <s v="In Relationship"/>
    <n v="2"/>
    <n v="5"/>
    <s v="Facebook"/>
    <n v="0"/>
    <s v="7"/>
    <s v="OK"/>
    <s v="medium"/>
    <s v="Medium"/>
    <s v="5"/>
    <n v="6.7"/>
    <b v="1"/>
  </r>
  <r>
    <n v="79"/>
    <n v="20"/>
    <s v="Male"/>
    <s v="Undergraduate"/>
    <s v="Tajikistan"/>
    <n v="4.7"/>
    <x v="3"/>
    <s v="Yes"/>
    <n v="5.9"/>
    <n v="6"/>
    <s v="Single"/>
    <n v="3"/>
    <n v="7"/>
    <s v="Youtube"/>
    <n v="1"/>
    <s v="5.9"/>
    <s v="OK"/>
    <b v="1"/>
    <s v="High"/>
    <s v="7"/>
    <n v="6.6"/>
    <b v="1"/>
  </r>
  <r>
    <n v="80"/>
    <n v="18"/>
    <s v="Female"/>
    <s v="High School"/>
    <s v="Armenia"/>
    <n v="5.9"/>
    <x v="0"/>
    <s v="Yes"/>
    <n v="5.2"/>
    <n v="5"/>
    <s v="Complicated"/>
    <n v="4"/>
    <n v="9"/>
    <s v="Instagram"/>
    <n v="1"/>
    <s v="5.2"/>
    <s v="OK"/>
    <b v="1"/>
    <s v="High"/>
    <s v="9"/>
    <n v="6.6"/>
    <b v="1"/>
  </r>
  <r>
    <n v="81"/>
    <n v="21"/>
    <s v="Male"/>
    <s v="Graduate"/>
    <s v="Georgia"/>
    <n v="3"/>
    <x v="5"/>
    <s v="No"/>
    <n v="7.1"/>
    <n v="8"/>
    <s v="In Relationship"/>
    <n v="1"/>
    <n v="4"/>
    <s v="Linkedin"/>
    <n v="0"/>
    <s v="7.1"/>
    <s v="OK"/>
    <s v="medium"/>
    <s v="Low"/>
    <s v="4"/>
    <n v="6.6"/>
    <b v="1"/>
  </r>
  <r>
    <n v="82"/>
    <n v="19"/>
    <s v="Female"/>
    <s v="Undergraduate"/>
    <s v="Azerbaijan"/>
    <n v="4.8"/>
    <x v="2"/>
    <s v="Yes"/>
    <n v="5.7"/>
    <n v="6"/>
    <s v="Single"/>
    <n v="3"/>
    <n v="7"/>
    <s v="Tiktok"/>
    <n v="2"/>
    <s v="5.7"/>
    <s v="OK"/>
    <b v="1"/>
    <s v="High"/>
    <s v="7"/>
    <n v="6.6"/>
    <b v="1"/>
  </r>
  <r>
    <n v="83"/>
    <n v="20"/>
    <s v="Male"/>
    <s v="Undergraduate"/>
    <s v="Cyprus"/>
    <n v="3.8"/>
    <x v="4"/>
    <s v="No"/>
    <n v="6.6"/>
    <n v="7"/>
    <s v="Complicated"/>
    <n v="2"/>
    <n v="6"/>
    <s v="Facebook"/>
    <n v="0"/>
    <s v="6.6"/>
    <s v="OK"/>
    <s v="medium"/>
    <s v="Medium"/>
    <s v="6"/>
    <n v="6.6"/>
    <b v="1"/>
  </r>
  <r>
    <n v="84"/>
    <n v="22"/>
    <s v="Female"/>
    <s v="Graduate"/>
    <s v="Malta"/>
    <n v="2.7"/>
    <x v="5"/>
    <s v="No"/>
    <n v="7.2"/>
    <n v="8"/>
    <s v="In Relationship"/>
    <n v="1"/>
    <n v="4"/>
    <s v="Linkedin"/>
    <n v="0"/>
    <s v="7.2"/>
    <s v="OK"/>
    <s v="medium"/>
    <s v="Low"/>
    <s v="4"/>
    <n v="6.6"/>
    <b v="1"/>
  </r>
  <r>
    <n v="85"/>
    <n v="18"/>
    <s v="Male"/>
    <s v="High School"/>
    <s v="Luxembourg"/>
    <n v="5.6"/>
    <x v="6"/>
    <s v="Yes"/>
    <n v="5.3"/>
    <n v="5"/>
    <s v="Single"/>
    <n v="4"/>
    <n v="8"/>
    <s v="Snapchat"/>
    <n v="1"/>
    <s v="5.3"/>
    <s v="OK"/>
    <b v="1"/>
    <s v="High"/>
    <s v="8"/>
    <n v="6.6"/>
    <b v="1"/>
  </r>
  <r>
    <n v="86"/>
    <n v="21"/>
    <s v="Female"/>
    <s v="Undergraduate"/>
    <s v="Monaco"/>
    <n v="4.5"/>
    <x v="0"/>
    <s v="Yes"/>
    <n v="5.8"/>
    <n v="6"/>
    <s v="Complicated"/>
    <n v="3"/>
    <n v="7"/>
    <s v="Instagram"/>
    <n v="1"/>
    <s v="5.8"/>
    <s v="OK"/>
    <b v="1"/>
    <s v="High"/>
    <s v="7"/>
    <n v="6.6"/>
    <b v="1"/>
  </r>
  <r>
    <n v="87"/>
    <n v="19"/>
    <s v="Male"/>
    <s v="High School"/>
    <s v="Andorra"/>
    <n v="5.3"/>
    <x v="2"/>
    <s v="Yes"/>
    <n v="5.5"/>
    <n v="5"/>
    <s v="In Relationship"/>
    <n v="4"/>
    <n v="8"/>
    <s v="Tiktok"/>
    <n v="2"/>
    <s v="5.5"/>
    <s v="OK"/>
    <b v="1"/>
    <s v="High"/>
    <s v="8"/>
    <n v="6.5"/>
    <b v="1"/>
  </r>
  <r>
    <n v="88"/>
    <n v="23"/>
    <s v="Female"/>
    <s v="Graduate"/>
    <s v="San Marino"/>
    <n v="2.6"/>
    <x v="5"/>
    <s v="No"/>
    <n v="7.3"/>
    <n v="8"/>
    <s v="Single"/>
    <n v="1"/>
    <n v="4"/>
    <s v="Linkedin"/>
    <n v="0"/>
    <s v="7.3"/>
    <s v="OK"/>
    <s v="medium"/>
    <s v="Low"/>
    <s v="4"/>
    <n v="6.5"/>
    <b v="1"/>
  </r>
  <r>
    <n v="89"/>
    <n v="20"/>
    <s v="Male"/>
    <s v="Undergraduate"/>
    <s v="Vatican City"/>
    <n v="4.4000000000000004"/>
    <x v="3"/>
    <s v="Yes"/>
    <n v="6"/>
    <n v="6"/>
    <s v="Complicated"/>
    <n v="3"/>
    <n v="7"/>
    <s v="Youtube"/>
    <n v="1"/>
    <s v="6"/>
    <s v="OK"/>
    <b v="1"/>
    <s v="High"/>
    <s v="7"/>
    <n v="6.5"/>
    <b v="1"/>
  </r>
  <r>
    <n v="90"/>
    <n v="18"/>
    <s v="Female"/>
    <s v="High School"/>
    <s v="Liechtenstein"/>
    <n v="5.8"/>
    <x v="0"/>
    <s v="Yes"/>
    <n v="5.2"/>
    <n v="5"/>
    <s v="Single"/>
    <n v="4"/>
    <n v="9"/>
    <s v="Instagram"/>
    <n v="1"/>
    <s v="5.2"/>
    <s v="OK"/>
    <b v="1"/>
    <s v="High"/>
    <s v="9"/>
    <n v="6.5"/>
    <b v="1"/>
  </r>
  <r>
    <n v="91"/>
    <n v="22"/>
    <s v="Male"/>
    <s v="Graduate"/>
    <s v="Montenegro"/>
    <n v="2.9"/>
    <x v="4"/>
    <s v="No"/>
    <n v="7"/>
    <n v="7"/>
    <s v="In Relationship"/>
    <n v="2"/>
    <n v="5"/>
    <s v="Facebook"/>
    <n v="0"/>
    <s v="7"/>
    <s v="OK"/>
    <s v="medium"/>
    <s v="Medium"/>
    <s v="5"/>
    <n v="6.5"/>
    <b v="1"/>
  </r>
  <r>
    <n v="92"/>
    <n v="19"/>
    <s v="Female"/>
    <s v="Undergraduate"/>
    <s v="Albania"/>
    <n v="4.7"/>
    <x v="2"/>
    <s v="Yes"/>
    <n v="5.8"/>
    <n v="6"/>
    <s v="Complicated"/>
    <n v="3"/>
    <n v="7"/>
    <s v="Tiktok"/>
    <n v="2"/>
    <s v="5.8"/>
    <s v="OK"/>
    <b v="1"/>
    <s v="High"/>
    <s v="7"/>
    <n v="6.5"/>
    <b v="1"/>
  </r>
  <r>
    <n v="93"/>
    <n v="21"/>
    <s v="Male"/>
    <s v="Undergraduate"/>
    <s v="North Macedonia"/>
    <n v="3.7"/>
    <x v="6"/>
    <s v="No"/>
    <n v="6.5"/>
    <n v="7"/>
    <s v="Single"/>
    <n v="2"/>
    <n v="6"/>
    <s v="Snapchat"/>
    <n v="1"/>
    <s v="6.5"/>
    <s v="OK"/>
    <s v="medium"/>
    <s v="Medium"/>
    <s v="6"/>
    <n v="6.5"/>
    <b v="1"/>
  </r>
  <r>
    <n v="94"/>
    <n v="20"/>
    <s v="Female"/>
    <s v="High School"/>
    <s v="Kosovo"/>
    <n v="5.5"/>
    <x v="0"/>
    <s v="Yes"/>
    <n v="5.4"/>
    <n v="5"/>
    <s v="In Relationship"/>
    <n v="4"/>
    <n v="8"/>
    <s v="Instagram"/>
    <n v="1"/>
    <s v="5.4"/>
    <s v="OK"/>
    <b v="1"/>
    <s v="High"/>
    <s v="8"/>
    <n v="6.5"/>
    <b v="1"/>
  </r>
  <r>
    <n v="95"/>
    <n v="23"/>
    <s v="Male"/>
    <s v="Graduate"/>
    <s v="Bosnia"/>
    <n v="2.4"/>
    <x v="5"/>
    <s v="No"/>
    <n v="7.4"/>
    <n v="8"/>
    <s v="Complicated"/>
    <n v="1"/>
    <n v="4"/>
    <s v="Linkedin"/>
    <n v="0"/>
    <s v="7.4"/>
    <s v="OK"/>
    <s v="medium"/>
    <s v="Low"/>
    <s v="4"/>
    <n v="6.5"/>
    <b v="1"/>
  </r>
  <r>
    <n v="96"/>
    <n v="19"/>
    <s v="Female"/>
    <s v="Undergraduate"/>
    <s v="Qatar"/>
    <n v="4.9000000000000004"/>
    <x v="2"/>
    <s v="Yes"/>
    <n v="5.7"/>
    <n v="6"/>
    <s v="Single"/>
    <n v="3"/>
    <n v="7"/>
    <s v="Tiktok"/>
    <n v="2"/>
    <s v="5.7"/>
    <s v="OK"/>
    <b v="1"/>
    <s v="High"/>
    <s v="7"/>
    <n v="6.5"/>
    <b v="1"/>
  </r>
  <r>
    <n v="97"/>
    <n v="18"/>
    <s v="Male"/>
    <s v="High School"/>
    <s v="Kuwait"/>
    <n v="5.7"/>
    <x v="6"/>
    <s v="Yes"/>
    <n v="5.3"/>
    <n v="5"/>
    <s v="In Relationship"/>
    <n v="4"/>
    <n v="8"/>
    <s v="Snapchat"/>
    <n v="1"/>
    <s v="5.3"/>
    <s v="OK"/>
    <b v="1"/>
    <s v="High"/>
    <s v="8"/>
    <n v="6.4"/>
    <b v="1"/>
  </r>
  <r>
    <n v="98"/>
    <n v="22"/>
    <s v="Female"/>
    <s v="Graduate"/>
    <s v="Bahrain"/>
    <n v="2.8"/>
    <x v="5"/>
    <s v="No"/>
    <n v="7.1"/>
    <n v="8"/>
    <s v="Complicated"/>
    <n v="1"/>
    <n v="4"/>
    <s v="Linkedin"/>
    <n v="0"/>
    <s v="7.1"/>
    <s v="OK"/>
    <s v="medium"/>
    <s v="Low"/>
    <s v="4"/>
    <n v="6.4"/>
    <b v="1"/>
  </r>
  <r>
    <n v="99"/>
    <n v="20"/>
    <s v="Male"/>
    <s v="Undergraduate"/>
    <s v="Oman"/>
    <n v="4.5999999999999996"/>
    <x v="0"/>
    <s v="Yes"/>
    <n v="5.9"/>
    <n v="6"/>
    <s v="Single"/>
    <n v="3"/>
    <n v="7"/>
    <s v="Instagram"/>
    <n v="1"/>
    <s v="5.9"/>
    <s v="OK"/>
    <b v="1"/>
    <s v="High"/>
    <s v="7"/>
    <n v="6.4"/>
    <b v="1"/>
  </r>
  <r>
    <n v="100"/>
    <n v="21"/>
    <s v="Female"/>
    <s v="Undergraduate"/>
    <s v="Jordan"/>
    <n v="5.4"/>
    <x v="2"/>
    <s v="Yes"/>
    <n v="5.5"/>
    <n v="5"/>
    <s v="In Relationship"/>
    <n v="4"/>
    <n v="8"/>
    <s v="Tiktok"/>
    <n v="2"/>
    <s v="5.5"/>
    <s v="OK"/>
    <b v="1"/>
    <s v="High"/>
    <s v="8"/>
    <n v="6.4"/>
    <b v="1"/>
  </r>
  <r>
    <n v="101"/>
    <n v="19"/>
    <s v="Male"/>
    <s v="High School"/>
    <s v="Lebanon"/>
    <n v="5.8"/>
    <x v="3"/>
    <s v="Yes"/>
    <n v="5.2"/>
    <n v="5"/>
    <s v="Complicated"/>
    <n v="4"/>
    <n v="9"/>
    <s v="Youtube"/>
    <n v="1"/>
    <s v="5.2"/>
    <s v="OK"/>
    <b v="1"/>
    <s v="High"/>
    <s v="9"/>
    <n v="6.4"/>
    <b v="1"/>
  </r>
  <r>
    <n v="102"/>
    <n v="23"/>
    <s v="Female"/>
    <s v="Graduate"/>
    <s v="Iraq"/>
    <n v="2.5"/>
    <x v="5"/>
    <s v="No"/>
    <n v="7.3"/>
    <n v="8"/>
    <s v="Single"/>
    <n v="1"/>
    <n v="4"/>
    <s v="Linkedin"/>
    <n v="0"/>
    <s v="7.3"/>
    <s v="OK"/>
    <s v="medium"/>
    <s v="Low"/>
    <s v="4"/>
    <n v="6.4"/>
    <b v="1"/>
  </r>
  <r>
    <n v="103"/>
    <n v="20"/>
    <s v="Male"/>
    <s v="Undergraduate"/>
    <s v="Yemen"/>
    <n v="4.7"/>
    <x v="4"/>
    <s v="Yes"/>
    <n v="5.8"/>
    <n v="6"/>
    <s v="In Relationship"/>
    <n v="3"/>
    <n v="7"/>
    <s v="Facebook"/>
    <n v="0"/>
    <s v="5.8"/>
    <s v="OK"/>
    <b v="1"/>
    <s v="High"/>
    <s v="7"/>
    <n v="6.4"/>
    <b v="1"/>
  </r>
  <r>
    <n v="104"/>
    <n v="18"/>
    <s v="Female"/>
    <s v="High School"/>
    <s v="Syria"/>
    <n v="5.6"/>
    <x v="0"/>
    <s v="Yes"/>
    <n v="5.4"/>
    <n v="5"/>
    <s v="Single"/>
    <n v="4"/>
    <n v="8"/>
    <s v="Instagram"/>
    <n v="1"/>
    <s v="5.4"/>
    <s v="OK"/>
    <b v="1"/>
    <s v="High"/>
    <s v="8"/>
    <n v="6.4"/>
    <b v="1"/>
  </r>
  <r>
    <n v="105"/>
    <n v="22"/>
    <s v="Male"/>
    <s v="Graduate"/>
    <s v="Afghanistan"/>
    <n v="2.9"/>
    <x v="5"/>
    <s v="No"/>
    <n v="7"/>
    <n v="7"/>
    <s v="Complicated"/>
    <n v="2"/>
    <n v="5"/>
    <s v="Linkedin"/>
    <n v="0"/>
    <s v="7"/>
    <s v="OK"/>
    <s v="medium"/>
    <s v="Medium"/>
    <s v="5"/>
    <n v="6.4"/>
    <b v="1"/>
  </r>
  <r>
    <n v="106"/>
    <n v="19"/>
    <s v="Female"/>
    <s v="Undergraduate"/>
    <s v="Pakistan"/>
    <n v="4.8"/>
    <x v="2"/>
    <s v="Yes"/>
    <n v="5.7"/>
    <n v="6"/>
    <s v="In Relationship"/>
    <n v="3"/>
    <n v="7"/>
    <s v="Tiktok"/>
    <n v="2"/>
    <s v="5.7"/>
    <s v="OK"/>
    <b v="1"/>
    <s v="High"/>
    <s v="7"/>
    <n v="6.4"/>
    <b v="1"/>
  </r>
  <r>
    <n v="107"/>
    <n v="21"/>
    <s v="Male"/>
    <s v="Undergraduate"/>
    <s v="Nepal"/>
    <n v="3.8"/>
    <x v="3"/>
    <s v="No"/>
    <n v="6.6"/>
    <n v="7"/>
    <s v="Single"/>
    <n v="2"/>
    <n v="6"/>
    <s v="Youtube"/>
    <n v="1"/>
    <s v="6.6"/>
    <s v="OK"/>
    <s v="medium"/>
    <s v="Medium"/>
    <s v="6"/>
    <n v="6.3"/>
    <b v="1"/>
  </r>
  <r>
    <n v="108"/>
    <n v="20"/>
    <s v="Female"/>
    <s v="High School"/>
    <s v="Bhutan"/>
    <n v="5.5"/>
    <x v="6"/>
    <s v="Yes"/>
    <n v="5.5"/>
    <n v="5"/>
    <s v="Complicated"/>
    <n v="4"/>
    <n v="8"/>
    <s v="Snapchat"/>
    <n v="1"/>
    <s v="5.5"/>
    <s v="OK"/>
    <b v="1"/>
    <s v="High"/>
    <s v="8"/>
    <n v="6.3"/>
    <b v="1"/>
  </r>
  <r>
    <n v="109"/>
    <n v="23"/>
    <s v="Male"/>
    <s v="Graduate"/>
    <s v="Sri Lanka"/>
    <n v="2.6"/>
    <x v="5"/>
    <s v="No"/>
    <n v="7.2"/>
    <n v="8"/>
    <s v="In Relationship"/>
    <n v="1"/>
    <n v="4"/>
    <s v="Linkedin"/>
    <n v="0"/>
    <s v="7.2"/>
    <s v="OK"/>
    <s v="medium"/>
    <s v="Low"/>
    <s v="4"/>
    <n v="6.3"/>
    <b v="1"/>
  </r>
  <r>
    <n v="110"/>
    <n v="19"/>
    <s v="Female"/>
    <s v="Undergraduate"/>
    <s v="Maldives"/>
    <n v="4.9000000000000004"/>
    <x v="0"/>
    <s v="Yes"/>
    <n v="5.8"/>
    <n v="6"/>
    <s v="Single"/>
    <n v="3"/>
    <n v="7"/>
    <s v="Instagram"/>
    <n v="1"/>
    <s v="5.8"/>
    <s v="OK"/>
    <b v="1"/>
    <s v="High"/>
    <s v="7"/>
    <n v="6.3"/>
    <b v="1"/>
  </r>
  <r>
    <n v="111"/>
    <n v="20"/>
    <s v="Male"/>
    <s v="Undergraduate"/>
    <s v="Bangladesh"/>
    <n v="6.1"/>
    <x v="0"/>
    <s v="Yes"/>
    <n v="6.2"/>
    <n v="5"/>
    <s v="Single"/>
    <n v="4"/>
    <n v="8"/>
    <s v="Instagram"/>
    <n v="1"/>
    <s v="6.2"/>
    <s v="OK"/>
    <b v="1"/>
    <s v="High"/>
    <s v="8"/>
    <n v="6.3"/>
    <b v="1"/>
  </r>
  <r>
    <n v="112"/>
    <n v="21"/>
    <s v="Female"/>
    <s v="Undergraduate"/>
    <s v="India"/>
    <n v="5.8"/>
    <x v="2"/>
    <s v="Yes"/>
    <n v="5.9"/>
    <n v="6"/>
    <s v="In Relationship"/>
    <n v="3"/>
    <n v="7"/>
    <s v="Tiktok"/>
    <n v="2"/>
    <s v="5.9"/>
    <s v="OK"/>
    <b v="1"/>
    <s v="High"/>
    <s v="7"/>
    <n v="6.3"/>
    <b v="1"/>
  </r>
  <r>
    <n v="113"/>
    <n v="19"/>
    <s v="Male"/>
    <s v="Undergraduate"/>
    <s v="Nepal"/>
    <n v="4.9000000000000004"/>
    <x v="4"/>
    <s v="No"/>
    <n v="7.1"/>
    <n v="7"/>
    <s v="Single"/>
    <n v="2"/>
    <n v="5"/>
    <s v="Facebook"/>
    <n v="0"/>
    <s v="7.1"/>
    <s v="OK"/>
    <s v="medium"/>
    <s v="Medium"/>
    <s v="5"/>
    <n v="6.3"/>
    <b v="1"/>
  </r>
  <r>
    <n v="114"/>
    <n v="22"/>
    <s v="Female"/>
    <s v="Graduate"/>
    <s v="Pakistan"/>
    <n v="5.5"/>
    <x v="0"/>
    <s v="Yes"/>
    <n v="6"/>
    <n v="5"/>
    <s v="Single"/>
    <n v="4"/>
    <n v="8"/>
    <s v="Instagram"/>
    <n v="1"/>
    <s v="6"/>
    <s v="OK"/>
    <b v="1"/>
    <s v="High"/>
    <s v="8"/>
    <n v="6.3"/>
    <b v="1"/>
  </r>
  <r>
    <n v="115"/>
    <n v="20"/>
    <s v="Male"/>
    <s v="Undergraduate"/>
    <s v="Sri Lanka"/>
    <n v="5.2"/>
    <x v="2"/>
    <s v="Yes"/>
    <n v="6.3"/>
    <n v="6"/>
    <s v="In Relationship"/>
    <n v="3"/>
    <n v="7"/>
    <s v="Tiktok"/>
    <n v="2"/>
    <s v="6.3"/>
    <s v="OK"/>
    <b v="1"/>
    <s v="High"/>
    <s v="7"/>
    <n v="6.3"/>
    <b v="1"/>
  </r>
  <r>
    <n v="116"/>
    <n v="19"/>
    <s v="Female"/>
    <s v="Undergraduate"/>
    <s v="Maldives"/>
    <n v="4.8"/>
    <x v="0"/>
    <s v="No"/>
    <n v="7.2"/>
    <n v="8"/>
    <s v="Single"/>
    <n v="2"/>
    <n v="5"/>
    <s v="Instagram"/>
    <n v="1"/>
    <s v="7.2"/>
    <s v="OK"/>
    <s v="medium"/>
    <s v="Medium"/>
    <s v="5"/>
    <n v="6.3"/>
    <b v="1"/>
  </r>
  <r>
    <n v="117"/>
    <n v="21"/>
    <s v="Male"/>
    <s v="Graduate"/>
    <s v="Bangladesh"/>
    <n v="6"/>
    <x v="4"/>
    <s v="Yes"/>
    <n v="5.8"/>
    <n v="5"/>
    <s v="In Relationship"/>
    <n v="4"/>
    <n v="8"/>
    <s v="Facebook"/>
    <n v="0"/>
    <s v="5.8"/>
    <s v="OK"/>
    <b v="1"/>
    <s v="High"/>
    <s v="8"/>
    <n v="6.3"/>
    <b v="1"/>
  </r>
  <r>
    <n v="118"/>
    <n v="20"/>
    <s v="Female"/>
    <s v="Undergraduate"/>
    <s v="India"/>
    <n v="5.7"/>
    <x v="0"/>
    <s v="Yes"/>
    <n v="6.1"/>
    <n v="6"/>
    <s v="Single"/>
    <n v="3"/>
    <n v="7"/>
    <s v="Instagram"/>
    <n v="1"/>
    <s v="6.1"/>
    <s v="OK"/>
    <b v="1"/>
    <s v="High"/>
    <s v="7"/>
    <n v="6.2"/>
    <b v="1"/>
  </r>
  <r>
    <n v="119"/>
    <n v="22"/>
    <s v="Male"/>
    <s v="Graduate"/>
    <s v="Nepal"/>
    <n v="4.7"/>
    <x v="2"/>
    <s v="No"/>
    <n v="7.3"/>
    <n v="7"/>
    <s v="Single"/>
    <n v="2"/>
    <n v="5"/>
    <s v="Tiktok"/>
    <n v="2"/>
    <s v="7.3"/>
    <s v="OK"/>
    <s v="medium"/>
    <s v="Medium"/>
    <s v="5"/>
    <n v="6.2"/>
    <b v="1"/>
  </r>
  <r>
    <n v="120"/>
    <n v="19"/>
    <s v="Female"/>
    <s v="Undergraduate"/>
    <s v="Pakistan"/>
    <n v="5.4"/>
    <x v="0"/>
    <s v="Yes"/>
    <n v="6.2"/>
    <n v="5"/>
    <s v="In Relationship"/>
    <n v="4"/>
    <n v="8"/>
    <s v="Instagram"/>
    <n v="1"/>
    <s v="6.2"/>
    <s v="OK"/>
    <b v="1"/>
    <s v="High"/>
    <s v="8"/>
    <n v="6.2"/>
    <b v="1"/>
  </r>
  <r>
    <n v="121"/>
    <n v="20"/>
    <s v="Male"/>
    <s v="Undergraduate"/>
    <s v="Sri Lanka"/>
    <n v="5.9"/>
    <x v="4"/>
    <s v="Yes"/>
    <n v="5.9"/>
    <n v="6"/>
    <s v="Single"/>
    <n v="3"/>
    <n v="7"/>
    <s v="Facebook"/>
    <n v="0"/>
    <s v="5.9"/>
    <s v="OK"/>
    <b v="1"/>
    <s v="High"/>
    <s v="7"/>
    <n v="6.2"/>
    <b v="1"/>
  </r>
  <r>
    <n v="122"/>
    <n v="21"/>
    <s v="Female"/>
    <s v="Graduate"/>
    <s v="Maldives"/>
    <n v="4.5999999999999996"/>
    <x v="0"/>
    <s v="No"/>
    <n v="7.4"/>
    <n v="8"/>
    <s v="In Relationship"/>
    <n v="2"/>
    <n v="5"/>
    <s v="Instagram"/>
    <n v="1"/>
    <s v="7.4"/>
    <s v="OK"/>
    <s v="medium"/>
    <s v="Medium"/>
    <s v="5"/>
    <n v="6.2"/>
    <b v="1"/>
  </r>
  <r>
    <n v="123"/>
    <n v="19"/>
    <s v="Male"/>
    <s v="Undergraduate"/>
    <s v="Bangladesh"/>
    <n v="5.3"/>
    <x v="2"/>
    <s v="Yes"/>
    <n v="6.3"/>
    <n v="5"/>
    <s v="Single"/>
    <n v="4"/>
    <n v="8"/>
    <s v="Tiktok"/>
    <n v="2"/>
    <s v="6.3"/>
    <s v="OK"/>
    <b v="1"/>
    <s v="High"/>
    <s v="8"/>
    <n v="6.2"/>
    <b v="1"/>
  </r>
  <r>
    <n v="124"/>
    <n v="22"/>
    <s v="Female"/>
    <s v="Graduate"/>
    <s v="India"/>
    <n v="5.8"/>
    <x v="0"/>
    <s v="Yes"/>
    <n v="5.8"/>
    <n v="6"/>
    <s v="In Relationship"/>
    <n v="3"/>
    <n v="7"/>
    <s v="Instagram"/>
    <n v="1"/>
    <s v="5.8"/>
    <s v="OK"/>
    <b v="1"/>
    <s v="High"/>
    <s v="7"/>
    <n v="6.2"/>
    <b v="1"/>
  </r>
  <r>
    <n v="125"/>
    <n v="20"/>
    <s v="Male"/>
    <s v="Undergraduate"/>
    <s v="Nepal"/>
    <n v="4.5"/>
    <x v="4"/>
    <s v="No"/>
    <n v="7.5"/>
    <n v="7"/>
    <s v="Single"/>
    <n v="2"/>
    <n v="5"/>
    <s v="Facebook"/>
    <n v="0"/>
    <s v="7.5"/>
    <s v="OK"/>
    <s v="medium"/>
    <s v="Medium"/>
    <s v="5"/>
    <n v="6.2"/>
    <b v="1"/>
  </r>
  <r>
    <n v="126"/>
    <n v="21"/>
    <s v="Female"/>
    <s v="Graduate"/>
    <s v="Pakistan"/>
    <n v="5.2"/>
    <x v="0"/>
    <s v="Yes"/>
    <n v="6.4"/>
    <n v="5"/>
    <s v="In Relationship"/>
    <n v="4"/>
    <n v="8"/>
    <s v="Instagram"/>
    <n v="1"/>
    <s v="6.4"/>
    <s v="OK"/>
    <b v="1"/>
    <s v="High"/>
    <s v="8"/>
    <n v="6.2"/>
    <b v="1"/>
  </r>
  <r>
    <n v="127"/>
    <n v="19"/>
    <s v="Male"/>
    <s v="Undergraduate"/>
    <s v="Sri Lanka"/>
    <n v="5.7"/>
    <x v="2"/>
    <s v="Yes"/>
    <n v="5.7"/>
    <n v="6"/>
    <s v="Single"/>
    <n v="3"/>
    <n v="7"/>
    <s v="Tiktok"/>
    <n v="2"/>
    <s v="5.7"/>
    <s v="OK"/>
    <b v="1"/>
    <s v="High"/>
    <s v="7"/>
    <n v="6.2"/>
    <b v="1"/>
  </r>
  <r>
    <n v="128"/>
    <n v="20"/>
    <s v="Female"/>
    <s v="Undergraduate"/>
    <s v="Maldives"/>
    <n v="4.4000000000000004"/>
    <x v="0"/>
    <s v="No"/>
    <n v="7.6"/>
    <n v="8"/>
    <s v="In Relationship"/>
    <n v="2"/>
    <n v="5"/>
    <s v="Instagram"/>
    <n v="1"/>
    <s v="7.6"/>
    <s v="OK"/>
    <s v="medium"/>
    <s v="Medium"/>
    <s v="5"/>
    <n v="6.2"/>
    <b v="1"/>
  </r>
  <r>
    <n v="129"/>
    <n v="22"/>
    <s v="Male"/>
    <s v="Graduate"/>
    <s v="Bangladesh"/>
    <n v="5.0999999999999996"/>
    <x v="4"/>
    <s v="Yes"/>
    <n v="6.5"/>
    <n v="5"/>
    <s v="Single"/>
    <n v="4"/>
    <n v="8"/>
    <s v="Facebook"/>
    <n v="0"/>
    <s v="6.5"/>
    <s v="OK"/>
    <b v="1"/>
    <s v="High"/>
    <s v="8"/>
    <n v="6.2"/>
    <b v="1"/>
  </r>
  <r>
    <n v="130"/>
    <n v="21"/>
    <s v="Female"/>
    <s v="Graduate"/>
    <s v="India"/>
    <n v="5.6"/>
    <x v="0"/>
    <s v="Yes"/>
    <n v="5.6"/>
    <n v="6"/>
    <s v="In Relationship"/>
    <n v="3"/>
    <n v="7"/>
    <s v="Instagram"/>
    <n v="1"/>
    <s v="5.6"/>
    <s v="OK"/>
    <b v="1"/>
    <s v="High"/>
    <s v="7"/>
    <n v="6.2"/>
    <b v="1"/>
  </r>
  <r>
    <n v="131"/>
    <n v="19"/>
    <s v="Male"/>
    <s v="Undergraduate"/>
    <s v="Nepal"/>
    <n v="4.3"/>
    <x v="2"/>
    <s v="No"/>
    <n v="7.7"/>
    <n v="7"/>
    <s v="Single"/>
    <n v="2"/>
    <n v="5"/>
    <s v="Tiktok"/>
    <n v="2"/>
    <s v="7.7"/>
    <s v="OK"/>
    <s v="medium"/>
    <s v="Medium"/>
    <s v="5"/>
    <n v="6.1"/>
    <b v="1"/>
  </r>
  <r>
    <n v="132"/>
    <n v="20"/>
    <s v="Female"/>
    <s v="Undergraduate"/>
    <s v="Pakistan"/>
    <n v="5"/>
    <x v="0"/>
    <s v="Yes"/>
    <n v="6.6"/>
    <n v="5"/>
    <s v="In Relationship"/>
    <n v="4"/>
    <n v="8"/>
    <s v="Instagram"/>
    <n v="1"/>
    <s v="6.6"/>
    <s v="OK"/>
    <b v="1"/>
    <s v="High"/>
    <s v="8"/>
    <n v="6.1"/>
    <b v="1"/>
  </r>
  <r>
    <n v="133"/>
    <n v="22"/>
    <s v="Male"/>
    <s v="Graduate"/>
    <s v="Sri Lanka"/>
    <n v="5.5"/>
    <x v="4"/>
    <s v="Yes"/>
    <n v="5.5"/>
    <n v="6"/>
    <s v="Single"/>
    <n v="3"/>
    <n v="7"/>
    <s v="Facebook"/>
    <n v="0"/>
    <s v="5.5"/>
    <s v="OK"/>
    <b v="1"/>
    <s v="High"/>
    <s v="7"/>
    <n v="6.1"/>
    <b v="1"/>
  </r>
  <r>
    <n v="134"/>
    <n v="21"/>
    <s v="Female"/>
    <s v="Graduate"/>
    <s v="Maldives"/>
    <n v="4.2"/>
    <x v="0"/>
    <s v="No"/>
    <n v="7.8"/>
    <n v="8"/>
    <s v="In Relationship"/>
    <n v="2"/>
    <n v="5"/>
    <s v="Instagram"/>
    <n v="1"/>
    <s v="7.8"/>
    <s v="OK"/>
    <s v="medium"/>
    <s v="Medium"/>
    <s v="5"/>
    <n v="6.1"/>
    <b v="1"/>
  </r>
  <r>
    <n v="135"/>
    <n v="19"/>
    <s v="Male"/>
    <s v="Undergraduate"/>
    <s v="Bangladesh"/>
    <n v="4.9000000000000004"/>
    <x v="2"/>
    <s v="Yes"/>
    <n v="6.7"/>
    <n v="5"/>
    <s v="Single"/>
    <n v="4"/>
    <n v="8"/>
    <s v="Tiktok"/>
    <n v="2"/>
    <s v="6.7"/>
    <s v="OK"/>
    <b v="1"/>
    <s v="High"/>
    <s v="8"/>
    <n v="6.1"/>
    <b v="1"/>
  </r>
  <r>
    <n v="136"/>
    <n v="20"/>
    <s v="Female"/>
    <s v="Undergraduate"/>
    <s v="India"/>
    <n v="5.4"/>
    <x v="0"/>
    <s v="Yes"/>
    <n v="5.4"/>
    <n v="6"/>
    <s v="In Relationship"/>
    <n v="3"/>
    <n v="7"/>
    <s v="Instagram"/>
    <n v="1"/>
    <s v="5.4"/>
    <s v="OK"/>
    <b v="1"/>
    <s v="High"/>
    <s v="7"/>
    <n v="6.1"/>
    <b v="1"/>
  </r>
  <r>
    <n v="137"/>
    <n v="22"/>
    <s v="Male"/>
    <s v="Graduate"/>
    <s v="Nepal"/>
    <n v="4.0999999999999996"/>
    <x v="4"/>
    <s v="No"/>
    <n v="7.9"/>
    <n v="7"/>
    <s v="Single"/>
    <n v="2"/>
    <n v="5"/>
    <s v="Facebook"/>
    <n v="0"/>
    <s v="7.9"/>
    <s v="OK"/>
    <s v="medium"/>
    <s v="Medium"/>
    <s v="5"/>
    <n v="6.1"/>
    <b v="1"/>
  </r>
  <r>
    <n v="138"/>
    <n v="21"/>
    <s v="Female"/>
    <s v="Graduate"/>
    <s v="Pakistan"/>
    <n v="4.8"/>
    <x v="0"/>
    <s v="Yes"/>
    <n v="6.8"/>
    <n v="5"/>
    <s v="In Relationship"/>
    <n v="4"/>
    <n v="8"/>
    <s v="Instagram"/>
    <n v="1"/>
    <s v="6.8"/>
    <s v="OK"/>
    <b v="1"/>
    <s v="High"/>
    <s v="8"/>
    <n v="6.1"/>
    <b v="1"/>
  </r>
  <r>
    <n v="139"/>
    <n v="19"/>
    <s v="Male"/>
    <s v="Undergraduate"/>
    <s v="Sri Lanka"/>
    <n v="5.3"/>
    <x v="2"/>
    <s v="Yes"/>
    <n v="5.3"/>
    <n v="6"/>
    <s v="Single"/>
    <n v="3"/>
    <n v="7"/>
    <s v="Tiktok"/>
    <n v="2"/>
    <s v="5.3"/>
    <s v="OK"/>
    <b v="1"/>
    <s v="High"/>
    <s v="7"/>
    <n v="6.1"/>
    <b v="1"/>
  </r>
  <r>
    <n v="140"/>
    <n v="20"/>
    <s v="Female"/>
    <s v="Undergraduate"/>
    <s v="Maldives"/>
    <n v="4"/>
    <x v="0"/>
    <s v="No"/>
    <n v="8"/>
    <n v="8"/>
    <s v="In Relationship"/>
    <n v="2"/>
    <n v="5"/>
    <s v="Instagram"/>
    <n v="1"/>
    <s v="8"/>
    <s v="OK"/>
    <s v="medium"/>
    <s v="Medium"/>
    <s v="5"/>
    <n v="6.1"/>
    <b v="1"/>
  </r>
  <r>
    <n v="141"/>
    <n v="22"/>
    <s v="Male"/>
    <s v="Graduate"/>
    <s v="Bangladesh"/>
    <n v="4.7"/>
    <x v="4"/>
    <s v="Yes"/>
    <n v="6.9"/>
    <n v="5"/>
    <s v="Single"/>
    <n v="4"/>
    <n v="8"/>
    <s v="Facebook"/>
    <n v="0"/>
    <s v="6.9"/>
    <s v="OK"/>
    <b v="1"/>
    <s v="High"/>
    <s v="8"/>
    <n v="6.1"/>
    <b v="1"/>
  </r>
  <r>
    <n v="142"/>
    <n v="21"/>
    <s v="Female"/>
    <s v="Graduate"/>
    <s v="India"/>
    <n v="5.2"/>
    <x v="0"/>
    <s v="Yes"/>
    <n v="5.2"/>
    <n v="6"/>
    <s v="In Relationship"/>
    <n v="3"/>
    <n v="7"/>
    <s v="Instagram"/>
    <n v="1"/>
    <s v="5.2"/>
    <s v="OK"/>
    <b v="1"/>
    <s v="High"/>
    <s v="7"/>
    <n v="6.1"/>
    <b v="1"/>
  </r>
  <r>
    <n v="143"/>
    <n v="19"/>
    <s v="Male"/>
    <s v="Undergraduate"/>
    <s v="Nepal"/>
    <n v="3.9"/>
    <x v="2"/>
    <s v="No"/>
    <n v="8.1"/>
    <n v="7"/>
    <s v="Single"/>
    <n v="2"/>
    <n v="5"/>
    <s v="Tiktok"/>
    <n v="2"/>
    <s v="8.1"/>
    <s v="OK"/>
    <s v="medium"/>
    <s v="Medium"/>
    <s v="5"/>
    <n v="6.1"/>
    <b v="1"/>
  </r>
  <r>
    <n v="144"/>
    <n v="20"/>
    <s v="Female"/>
    <s v="Undergraduate"/>
    <s v="Pakistan"/>
    <n v="4.5999999999999996"/>
    <x v="0"/>
    <s v="Yes"/>
    <n v="7"/>
    <n v="5"/>
    <s v="In Relationship"/>
    <n v="4"/>
    <n v="8"/>
    <s v="Instagram"/>
    <n v="1"/>
    <s v="7"/>
    <s v="OK"/>
    <b v="1"/>
    <s v="High"/>
    <s v="8"/>
    <n v="6"/>
    <b v="1"/>
  </r>
  <r>
    <n v="145"/>
    <n v="22"/>
    <s v="Male"/>
    <s v="Graduate"/>
    <s v="Sri Lanka"/>
    <n v="5.0999999999999996"/>
    <x v="4"/>
    <s v="Yes"/>
    <n v="5.0999999999999996"/>
    <n v="6"/>
    <s v="Single"/>
    <n v="3"/>
    <n v="7"/>
    <s v="Facebook"/>
    <n v="0"/>
    <s v="5.1"/>
    <s v="OK"/>
    <b v="1"/>
    <s v="High"/>
    <s v="7"/>
    <n v="6"/>
    <b v="1"/>
  </r>
  <r>
    <n v="146"/>
    <n v="21"/>
    <s v="Female"/>
    <s v="Graduate"/>
    <s v="Maldives"/>
    <n v="3.8"/>
    <x v="0"/>
    <s v="No"/>
    <n v="8.1999999999999993"/>
    <n v="8"/>
    <s v="In Relationship"/>
    <n v="2"/>
    <n v="5"/>
    <s v="Instagram"/>
    <n v="1"/>
    <s v="8.2"/>
    <s v="OK"/>
    <s v="medium"/>
    <s v="Medium"/>
    <s v="5"/>
    <n v="6"/>
    <b v="1"/>
  </r>
  <r>
    <n v="147"/>
    <n v="19"/>
    <s v="Male"/>
    <s v="Undergraduate"/>
    <s v="Bangladesh"/>
    <n v="4.5"/>
    <x v="2"/>
    <s v="Yes"/>
    <n v="7.1"/>
    <n v="5"/>
    <s v="Single"/>
    <n v="4"/>
    <n v="8"/>
    <s v="Tiktok"/>
    <n v="2"/>
    <s v="7.1"/>
    <s v="OK"/>
    <b v="1"/>
    <s v="High"/>
    <s v="8"/>
    <n v="6"/>
    <b v="1"/>
  </r>
  <r>
    <n v="148"/>
    <n v="20"/>
    <s v="Female"/>
    <s v="Undergraduate"/>
    <s v="India"/>
    <n v="5"/>
    <x v="0"/>
    <s v="Yes"/>
    <n v="5"/>
    <n v="6"/>
    <s v="In Relationship"/>
    <n v="3"/>
    <n v="7"/>
    <s v="Instagram"/>
    <n v="1"/>
    <s v="5"/>
    <s v="OK"/>
    <b v="1"/>
    <s v="High"/>
    <s v="7"/>
    <n v="6"/>
    <b v="1"/>
  </r>
  <r>
    <n v="149"/>
    <n v="22"/>
    <s v="Male"/>
    <s v="Graduate"/>
    <s v="Nepal"/>
    <n v="3.7"/>
    <x v="4"/>
    <s v="No"/>
    <n v="8.3000000000000007"/>
    <n v="7"/>
    <s v="Single"/>
    <n v="2"/>
    <n v="5"/>
    <s v="Facebook"/>
    <n v="0"/>
    <s v="8.3"/>
    <s v="OK"/>
    <s v="medium"/>
    <s v="Medium"/>
    <s v="5"/>
    <n v="6"/>
    <b v="1"/>
  </r>
  <r>
    <n v="150"/>
    <n v="21"/>
    <s v="Female"/>
    <s v="Graduate"/>
    <s v="Pakistan"/>
    <n v="4.4000000000000004"/>
    <x v="0"/>
    <s v="Yes"/>
    <n v="7.2"/>
    <n v="5"/>
    <s v="In Relationship"/>
    <n v="4"/>
    <n v="8"/>
    <s v="Instagram"/>
    <n v="1"/>
    <s v="7.2"/>
    <s v="OK"/>
    <b v="1"/>
    <s v="High"/>
    <s v="8"/>
    <n v="6"/>
    <b v="1"/>
  </r>
  <r>
    <n v="151"/>
    <n v="19"/>
    <s v="Male"/>
    <s v="Undergraduate"/>
    <s v="Sri Lanka"/>
    <n v="4.9000000000000004"/>
    <x v="2"/>
    <s v="Yes"/>
    <n v="4.9000000000000004"/>
    <n v="6"/>
    <s v="Single"/>
    <n v="3"/>
    <n v="7"/>
    <s v="Tiktok"/>
    <n v="2"/>
    <s v="4.9"/>
    <s v="LESS SLEEP"/>
    <b v="1"/>
    <s v="High"/>
    <s v="7"/>
    <n v="5.9"/>
    <b v="1"/>
  </r>
  <r>
    <n v="152"/>
    <n v="20"/>
    <s v="Female"/>
    <s v="Undergraduate"/>
    <s v="Maldives"/>
    <n v="3.6"/>
    <x v="0"/>
    <s v="No"/>
    <n v="8.4"/>
    <n v="8"/>
    <s v="In Relationship"/>
    <n v="2"/>
    <n v="5"/>
    <s v="Instagram"/>
    <n v="1"/>
    <s v="8.4"/>
    <s v="OK"/>
    <s v="medium"/>
    <s v="Medium"/>
    <s v="5"/>
    <n v="5.9"/>
    <b v="1"/>
  </r>
  <r>
    <n v="153"/>
    <n v="22"/>
    <s v="Male"/>
    <s v="Graduate"/>
    <s v="Bangladesh"/>
    <n v="4.3"/>
    <x v="4"/>
    <s v="Yes"/>
    <n v="7.3"/>
    <n v="5"/>
    <s v="Single"/>
    <n v="4"/>
    <n v="8"/>
    <s v="Facebook"/>
    <n v="0"/>
    <s v="7.3"/>
    <s v="OK"/>
    <b v="1"/>
    <s v="High"/>
    <s v="8"/>
    <n v="5.9"/>
    <b v="1"/>
  </r>
  <r>
    <n v="154"/>
    <n v="21"/>
    <s v="Female"/>
    <s v="Graduate"/>
    <s v="India"/>
    <n v="4.8"/>
    <x v="0"/>
    <s v="Yes"/>
    <n v="4.8"/>
    <n v="6"/>
    <s v="In Relationship"/>
    <n v="3"/>
    <n v="7"/>
    <s v="Instagram"/>
    <n v="1"/>
    <s v="4.8"/>
    <s v="LESS SLEEP"/>
    <b v="1"/>
    <s v="High"/>
    <s v="7"/>
    <n v="5.9"/>
    <b v="1"/>
  </r>
  <r>
    <n v="155"/>
    <n v="19"/>
    <s v="Male"/>
    <s v="Undergraduate"/>
    <s v="Nepal"/>
    <n v="3.5"/>
    <x v="2"/>
    <s v="No"/>
    <n v="8.5"/>
    <n v="7"/>
    <s v="Single"/>
    <n v="2"/>
    <n v="5"/>
    <s v="Tiktok"/>
    <n v="2"/>
    <s v="8.5"/>
    <s v="OK"/>
    <s v="medium"/>
    <s v="Medium"/>
    <s v="5"/>
    <n v="5.9"/>
    <b v="1"/>
  </r>
  <r>
    <n v="156"/>
    <n v="20"/>
    <s v="Female"/>
    <s v="Undergraduate"/>
    <s v="Pakistan"/>
    <n v="4.2"/>
    <x v="0"/>
    <s v="Yes"/>
    <n v="7.4"/>
    <n v="5"/>
    <s v="In Relationship"/>
    <n v="4"/>
    <n v="8"/>
    <s v="Instagram"/>
    <n v="1"/>
    <s v="7.4"/>
    <s v="OK"/>
    <b v="1"/>
    <s v="High"/>
    <s v="8"/>
    <n v="5.9"/>
    <b v="1"/>
  </r>
  <r>
    <n v="157"/>
    <n v="22"/>
    <s v="Male"/>
    <s v="Graduate"/>
    <s v="Sri Lanka"/>
    <n v="4.7"/>
    <x v="4"/>
    <s v="Yes"/>
    <n v="4.7"/>
    <n v="6"/>
    <s v="Single"/>
    <n v="3"/>
    <n v="7"/>
    <s v="Facebook"/>
    <n v="0"/>
    <s v="4.7"/>
    <s v="LESS SLEEP"/>
    <b v="1"/>
    <s v="High"/>
    <s v="7"/>
    <n v="5.9"/>
    <b v="1"/>
  </r>
  <r>
    <n v="158"/>
    <n v="21"/>
    <s v="Female"/>
    <s v="Graduate"/>
    <s v="Maldives"/>
    <n v="3.4"/>
    <x v="0"/>
    <s v="No"/>
    <n v="8.6"/>
    <n v="8"/>
    <s v="In Relationship"/>
    <n v="2"/>
    <n v="5"/>
    <s v="Instagram"/>
    <n v="1"/>
    <s v="8.6"/>
    <s v="OK"/>
    <s v="medium"/>
    <s v="Medium"/>
    <s v="5"/>
    <n v="5.9"/>
    <b v="1"/>
  </r>
  <r>
    <n v="159"/>
    <n v="19"/>
    <s v="Male"/>
    <s v="Undergraduate"/>
    <s v="Bangladesh"/>
    <n v="4.0999999999999996"/>
    <x v="2"/>
    <s v="Yes"/>
    <n v="7.5"/>
    <n v="5"/>
    <s v="Single"/>
    <n v="4"/>
    <n v="8"/>
    <s v="Tiktok"/>
    <n v="2"/>
    <s v="7.5"/>
    <s v="OK"/>
    <b v="1"/>
    <s v="High"/>
    <s v="8"/>
    <n v="5.9"/>
    <b v="1"/>
  </r>
  <r>
    <n v="160"/>
    <n v="20"/>
    <s v="Female"/>
    <s v="Undergraduate"/>
    <s v="India"/>
    <n v="4.5999999999999996"/>
    <x v="0"/>
    <s v="Yes"/>
    <n v="4.5999999999999996"/>
    <n v="6"/>
    <s v="In Relationship"/>
    <n v="3"/>
    <n v="7"/>
    <s v="Instagram"/>
    <n v="1"/>
    <s v="4.6"/>
    <s v="LESS SLEEP"/>
    <b v="1"/>
    <s v="High"/>
    <s v="7"/>
    <n v="5.9"/>
    <b v="1"/>
  </r>
  <r>
    <n v="161"/>
    <n v="19"/>
    <s v="Female"/>
    <s v="Undergraduate"/>
    <s v="Bangladesh"/>
    <n v="5.3"/>
    <x v="0"/>
    <s v="Yes"/>
    <n v="6.1"/>
    <n v="5"/>
    <s v="Single"/>
    <n v="3"/>
    <n v="7"/>
    <s v="Instagram"/>
    <n v="1"/>
    <s v="6.1"/>
    <s v="OK"/>
    <b v="1"/>
    <s v="High"/>
    <s v="7"/>
    <n v="5.9"/>
    <b v="1"/>
  </r>
  <r>
    <n v="162"/>
    <n v="21"/>
    <s v="Male"/>
    <s v="Graduate"/>
    <s v="India"/>
    <n v="4.8"/>
    <x v="4"/>
    <s v="No"/>
    <n v="7.2"/>
    <n v="7"/>
    <s v="In Relationship"/>
    <n v="2"/>
    <n v="6"/>
    <s v="Facebook"/>
    <n v="0"/>
    <s v="7.2"/>
    <s v="OK"/>
    <s v="medium"/>
    <s v="Medium"/>
    <s v="6"/>
    <n v="5.9"/>
    <b v="1"/>
  </r>
  <r>
    <n v="163"/>
    <n v="20"/>
    <s v="Female"/>
    <s v="Undergraduate"/>
    <s v="Nepal"/>
    <n v="5.5"/>
    <x v="2"/>
    <s v="Yes"/>
    <n v="5.9"/>
    <n v="6"/>
    <s v="Single"/>
    <n v="4"/>
    <n v="8"/>
    <s v="Tiktok"/>
    <n v="2"/>
    <s v="5.9"/>
    <s v="OK"/>
    <b v="1"/>
    <s v="High"/>
    <s v="8"/>
    <n v="5.9"/>
    <b v="1"/>
  </r>
  <r>
    <n v="164"/>
    <n v="22"/>
    <s v="Male"/>
    <s v="Graduate"/>
    <s v="Pakistan"/>
    <n v="4.7"/>
    <x v="0"/>
    <s v="Yes"/>
    <n v="6.3"/>
    <n v="5"/>
    <s v="In Relationship"/>
    <n v="3"/>
    <n v="7"/>
    <s v="Instagram"/>
    <n v="1"/>
    <s v="6.3"/>
    <s v="OK"/>
    <b v="1"/>
    <s v="High"/>
    <s v="7"/>
    <n v="5.8"/>
    <b v="1"/>
  </r>
  <r>
    <n v="165"/>
    <n v="19"/>
    <s v="Female"/>
    <s v="Undergraduate"/>
    <s v="Sri Lanka"/>
    <n v="5.0999999999999996"/>
    <x v="4"/>
    <s v="No"/>
    <n v="7"/>
    <n v="7"/>
    <s v="Single"/>
    <n v="2"/>
    <n v="5"/>
    <s v="Facebook"/>
    <n v="0"/>
    <s v="7"/>
    <s v="OK"/>
    <s v="medium"/>
    <s v="Medium"/>
    <s v="5"/>
    <n v="5.8"/>
    <b v="1"/>
  </r>
  <r>
    <n v="166"/>
    <n v="21"/>
    <s v="Male"/>
    <s v="Graduate"/>
    <s v="Maldives"/>
    <n v="5.4"/>
    <x v="2"/>
    <s v="Yes"/>
    <n v="6"/>
    <n v="6"/>
    <s v="In Relationship"/>
    <n v="4"/>
    <n v="8"/>
    <s v="Tiktok"/>
    <n v="2"/>
    <s v="6"/>
    <s v="OK"/>
    <b v="1"/>
    <s v="High"/>
    <s v="8"/>
    <n v="5.8"/>
    <b v="1"/>
  </r>
  <r>
    <n v="167"/>
    <n v="20"/>
    <s v="Female"/>
    <s v="Undergraduate"/>
    <s v="Bangladesh"/>
    <n v="4.9000000000000004"/>
    <x v="0"/>
    <s v="Yes"/>
    <n v="6.4"/>
    <n v="5"/>
    <s v="Single"/>
    <n v="3"/>
    <n v="7"/>
    <s v="Instagram"/>
    <n v="1"/>
    <s v="6.4"/>
    <s v="OK"/>
    <b v="1"/>
    <s v="High"/>
    <s v="7"/>
    <n v="5.8"/>
    <b v="1"/>
  </r>
  <r>
    <n v="168"/>
    <n v="22"/>
    <s v="Male"/>
    <s v="Graduate"/>
    <s v="India"/>
    <n v="5.2"/>
    <x v="4"/>
    <s v="No"/>
    <n v="7.1"/>
    <n v="7"/>
    <s v="In Relationship"/>
    <n v="2"/>
    <n v="6"/>
    <s v="Facebook"/>
    <n v="0"/>
    <s v="7.1"/>
    <s v="OK"/>
    <s v="medium"/>
    <s v="Medium"/>
    <s v="6"/>
    <n v="5.8"/>
    <b v="1"/>
  </r>
  <r>
    <n v="169"/>
    <n v="19"/>
    <s v="Female"/>
    <s v="Undergraduate"/>
    <s v="Nepal"/>
    <n v="5.6"/>
    <x v="2"/>
    <s v="Yes"/>
    <n v="5.8"/>
    <n v="6"/>
    <s v="Single"/>
    <n v="4"/>
    <n v="8"/>
    <s v="Tiktok"/>
    <n v="2"/>
    <s v="5.8"/>
    <s v="OK"/>
    <b v="1"/>
    <s v="High"/>
    <s v="8"/>
    <n v="5.8"/>
    <b v="1"/>
  </r>
  <r>
    <n v="170"/>
    <n v="21"/>
    <s v="Male"/>
    <s v="Graduate"/>
    <s v="Pakistan"/>
    <n v="4.5999999999999996"/>
    <x v="0"/>
    <s v="Yes"/>
    <n v="6.5"/>
    <n v="5"/>
    <s v="In Relationship"/>
    <n v="3"/>
    <n v="7"/>
    <s v="Instagram"/>
    <n v="1"/>
    <s v="6.5"/>
    <s v="OK"/>
    <b v="1"/>
    <s v="High"/>
    <s v="7"/>
    <n v="5.8"/>
    <b v="1"/>
  </r>
  <r>
    <n v="171"/>
    <n v="20"/>
    <s v="Female"/>
    <s v="Undergraduate"/>
    <s v="Sri Lanka"/>
    <n v="5"/>
    <x v="4"/>
    <s v="No"/>
    <n v="7.3"/>
    <n v="7"/>
    <s v="Single"/>
    <n v="2"/>
    <n v="5"/>
    <s v="Facebook"/>
    <n v="0"/>
    <s v="7.3"/>
    <s v="OK"/>
    <s v="medium"/>
    <s v="Medium"/>
    <s v="5"/>
    <n v="5.8"/>
    <b v="1"/>
  </r>
  <r>
    <n v="172"/>
    <n v="22"/>
    <s v="Male"/>
    <s v="Graduate"/>
    <s v="Maldives"/>
    <n v="5.3"/>
    <x v="2"/>
    <s v="Yes"/>
    <n v="5.7"/>
    <n v="6"/>
    <s v="In Relationship"/>
    <n v="4"/>
    <n v="8"/>
    <s v="Tiktok"/>
    <n v="2"/>
    <s v="5.7"/>
    <s v="OK"/>
    <b v="1"/>
    <s v="High"/>
    <s v="8"/>
    <n v="5.8"/>
    <b v="1"/>
  </r>
  <r>
    <n v="173"/>
    <n v="19"/>
    <s v="Female"/>
    <s v="Undergraduate"/>
    <s v="Bangladesh"/>
    <n v="4.8"/>
    <x v="0"/>
    <s v="Yes"/>
    <n v="6.6"/>
    <n v="5"/>
    <s v="Single"/>
    <n v="3"/>
    <n v="7"/>
    <s v="Instagram"/>
    <n v="1"/>
    <s v="6.6"/>
    <s v="OK"/>
    <b v="1"/>
    <s v="High"/>
    <s v="7"/>
    <n v="5.8"/>
    <b v="1"/>
  </r>
  <r>
    <n v="174"/>
    <n v="21"/>
    <s v="Male"/>
    <s v="Graduate"/>
    <s v="India"/>
    <n v="5.0999999999999996"/>
    <x v="4"/>
    <s v="No"/>
    <n v="7.4"/>
    <n v="7"/>
    <s v="In Relationship"/>
    <n v="2"/>
    <n v="6"/>
    <s v="Facebook"/>
    <n v="0"/>
    <s v="7.4"/>
    <s v="OK"/>
    <s v="medium"/>
    <s v="Medium"/>
    <s v="6"/>
    <n v="5.8"/>
    <b v="1"/>
  </r>
  <r>
    <n v="175"/>
    <n v="20"/>
    <s v="Female"/>
    <s v="Undergraduate"/>
    <s v="Nepal"/>
    <n v="5.7"/>
    <x v="2"/>
    <s v="Yes"/>
    <n v="5.6"/>
    <n v="6"/>
    <s v="Single"/>
    <n v="4"/>
    <n v="8"/>
    <s v="Tiktok"/>
    <n v="2"/>
    <s v="5.6"/>
    <s v="OK"/>
    <b v="1"/>
    <s v="High"/>
    <s v="8"/>
    <n v="5.8"/>
    <b v="1"/>
  </r>
  <r>
    <n v="176"/>
    <n v="22"/>
    <s v="Male"/>
    <s v="Graduate"/>
    <s v="Pakistan"/>
    <n v="4.5"/>
    <x v="0"/>
    <s v="Yes"/>
    <n v="6.7"/>
    <n v="5"/>
    <s v="In Relationship"/>
    <n v="3"/>
    <n v="7"/>
    <s v="Instagram"/>
    <n v="1"/>
    <s v="6.7"/>
    <s v="OK"/>
    <b v="1"/>
    <s v="High"/>
    <s v="7"/>
    <n v="5.8"/>
    <b v="1"/>
  </r>
  <r>
    <n v="177"/>
    <n v="19"/>
    <s v="Female"/>
    <s v="Undergraduate"/>
    <s v="Sri Lanka"/>
    <n v="4.9000000000000004"/>
    <x v="4"/>
    <s v="No"/>
    <n v="7.5"/>
    <n v="7"/>
    <s v="Single"/>
    <n v="2"/>
    <n v="5"/>
    <s v="Facebook"/>
    <n v="0"/>
    <s v="7.5"/>
    <s v="OK"/>
    <s v="medium"/>
    <s v="Medium"/>
    <s v="5"/>
    <n v="5.8"/>
    <b v="1"/>
  </r>
  <r>
    <n v="178"/>
    <n v="21"/>
    <s v="Male"/>
    <s v="Graduate"/>
    <s v="Maldives"/>
    <n v="5.2"/>
    <x v="2"/>
    <s v="Yes"/>
    <n v="5.5"/>
    <n v="6"/>
    <s v="In Relationship"/>
    <n v="4"/>
    <n v="8"/>
    <s v="Tiktok"/>
    <n v="2"/>
    <s v="5.5"/>
    <s v="OK"/>
    <b v="1"/>
    <s v="High"/>
    <s v="8"/>
    <n v="5.8"/>
    <b v="1"/>
  </r>
  <r>
    <n v="179"/>
    <n v="20"/>
    <s v="Female"/>
    <s v="Undergraduate"/>
    <s v="Bangladesh"/>
    <n v="4.7"/>
    <x v="0"/>
    <s v="Yes"/>
    <n v="6.8"/>
    <n v="5"/>
    <s v="Single"/>
    <n v="3"/>
    <n v="7"/>
    <s v="Instagram"/>
    <n v="1"/>
    <s v="6.8"/>
    <s v="OK"/>
    <b v="1"/>
    <s v="High"/>
    <s v="7"/>
    <n v="5.8"/>
    <b v="1"/>
  </r>
  <r>
    <n v="180"/>
    <n v="22"/>
    <s v="Male"/>
    <s v="Graduate"/>
    <s v="India"/>
    <n v="5"/>
    <x v="4"/>
    <s v="No"/>
    <n v="7.6"/>
    <n v="7"/>
    <s v="In Relationship"/>
    <n v="2"/>
    <n v="6"/>
    <s v="Facebook"/>
    <n v="0"/>
    <s v="7.6"/>
    <s v="OK"/>
    <s v="medium"/>
    <s v="Medium"/>
    <s v="6"/>
    <n v="5.8"/>
    <b v="1"/>
  </r>
  <r>
    <n v="181"/>
    <n v="19"/>
    <s v="Female"/>
    <s v="Undergraduate"/>
    <s v="Nepal"/>
    <n v="5.8"/>
    <x v="2"/>
    <s v="Yes"/>
    <n v="5.4"/>
    <n v="6"/>
    <s v="Single"/>
    <n v="4"/>
    <n v="8"/>
    <s v="Tiktok"/>
    <n v="2"/>
    <s v="5.4"/>
    <s v="OK"/>
    <b v="1"/>
    <s v="High"/>
    <s v="8"/>
    <n v="5.8"/>
    <b v="1"/>
  </r>
  <r>
    <n v="182"/>
    <n v="21"/>
    <s v="Male"/>
    <s v="Graduate"/>
    <s v="Pakistan"/>
    <n v="4.4000000000000004"/>
    <x v="0"/>
    <s v="Yes"/>
    <n v="6.9"/>
    <n v="5"/>
    <s v="In Relationship"/>
    <n v="3"/>
    <n v="7"/>
    <s v="Instagram"/>
    <n v="1"/>
    <s v="6.9"/>
    <s v="OK"/>
    <b v="1"/>
    <s v="High"/>
    <s v="7"/>
    <n v="5.7"/>
    <b v="1"/>
  </r>
  <r>
    <n v="183"/>
    <n v="20"/>
    <s v="Female"/>
    <s v="Undergraduate"/>
    <s v="Sri Lanka"/>
    <n v="4.8"/>
    <x v="4"/>
    <s v="No"/>
    <n v="7.7"/>
    <n v="7"/>
    <s v="Single"/>
    <n v="2"/>
    <n v="5"/>
    <s v="Facebook"/>
    <n v="0"/>
    <s v="7.7"/>
    <s v="OK"/>
    <s v="medium"/>
    <s v="Medium"/>
    <s v="5"/>
    <n v="5.7"/>
    <b v="1"/>
  </r>
  <r>
    <n v="184"/>
    <n v="22"/>
    <s v="Male"/>
    <s v="Graduate"/>
    <s v="Maldives"/>
    <n v="5.0999999999999996"/>
    <x v="2"/>
    <s v="Yes"/>
    <n v="5.3"/>
    <n v="6"/>
    <s v="In Relationship"/>
    <n v="4"/>
    <n v="8"/>
    <s v="Tiktok"/>
    <n v="2"/>
    <s v="5.3"/>
    <s v="OK"/>
    <b v="1"/>
    <s v="High"/>
    <s v="8"/>
    <n v="5.7"/>
    <b v="1"/>
  </r>
  <r>
    <n v="185"/>
    <n v="19"/>
    <s v="Female"/>
    <s v="Undergraduate"/>
    <s v="Bangladesh"/>
    <n v="4.5999999999999996"/>
    <x v="0"/>
    <s v="Yes"/>
    <n v="7"/>
    <n v="5"/>
    <s v="Single"/>
    <n v="3"/>
    <n v="7"/>
    <s v="Instagram"/>
    <n v="1"/>
    <s v="7"/>
    <s v="OK"/>
    <b v="1"/>
    <s v="High"/>
    <s v="7"/>
    <n v="5.7"/>
    <b v="1"/>
  </r>
  <r>
    <n v="186"/>
    <n v="21"/>
    <s v="Male"/>
    <s v="Graduate"/>
    <s v="India"/>
    <n v="4.9000000000000004"/>
    <x v="4"/>
    <s v="No"/>
    <n v="7.8"/>
    <n v="7"/>
    <s v="In Relationship"/>
    <n v="2"/>
    <n v="6"/>
    <s v="Facebook"/>
    <n v="0"/>
    <s v="7.8"/>
    <s v="OK"/>
    <s v="medium"/>
    <s v="Medium"/>
    <s v="6"/>
    <n v="5.7"/>
    <b v="1"/>
  </r>
  <r>
    <n v="187"/>
    <n v="20"/>
    <s v="Female"/>
    <s v="Undergraduate"/>
    <s v="Nepal"/>
    <n v="5.9"/>
    <x v="2"/>
    <s v="Yes"/>
    <n v="5.2"/>
    <n v="6"/>
    <s v="Single"/>
    <n v="4"/>
    <n v="8"/>
    <s v="Tiktok"/>
    <n v="2"/>
    <s v="5.2"/>
    <s v="OK"/>
    <b v="1"/>
    <s v="High"/>
    <s v="8"/>
    <n v="5.7"/>
    <b v="1"/>
  </r>
  <r>
    <n v="188"/>
    <n v="22"/>
    <s v="Male"/>
    <s v="Graduate"/>
    <s v="Pakistan"/>
    <n v="4.3"/>
    <x v="0"/>
    <s v="Yes"/>
    <n v="7.1"/>
    <n v="5"/>
    <s v="In Relationship"/>
    <n v="3"/>
    <n v="7"/>
    <s v="Instagram"/>
    <n v="1"/>
    <s v="7.1"/>
    <s v="OK"/>
    <b v="1"/>
    <s v="High"/>
    <s v="7"/>
    <n v="5.7"/>
    <b v="1"/>
  </r>
  <r>
    <n v="189"/>
    <n v="19"/>
    <s v="Female"/>
    <s v="Undergraduate"/>
    <s v="Sri Lanka"/>
    <n v="4.7"/>
    <x v="4"/>
    <s v="No"/>
    <n v="7.9"/>
    <n v="7"/>
    <s v="Single"/>
    <n v="2"/>
    <n v="5"/>
    <s v="Facebook"/>
    <n v="0"/>
    <s v="7.9"/>
    <s v="OK"/>
    <s v="medium"/>
    <s v="Medium"/>
    <s v="5"/>
    <n v="5.7"/>
    <b v="1"/>
  </r>
  <r>
    <n v="190"/>
    <n v="21"/>
    <s v="Male"/>
    <s v="Graduate"/>
    <s v="Maldives"/>
    <n v="5"/>
    <x v="2"/>
    <s v="Yes"/>
    <n v="5.0999999999999996"/>
    <n v="6"/>
    <s v="In Relationship"/>
    <n v="4"/>
    <n v="8"/>
    <s v="Tiktok"/>
    <n v="2"/>
    <s v="5.1"/>
    <s v="OK"/>
    <b v="1"/>
    <s v="High"/>
    <s v="8"/>
    <n v="5.7"/>
    <b v="1"/>
  </r>
  <r>
    <n v="191"/>
    <n v="20"/>
    <s v="Female"/>
    <s v="Undergraduate"/>
    <s v="Bangladesh"/>
    <n v="4.5"/>
    <x v="0"/>
    <s v="Yes"/>
    <n v="7.2"/>
    <n v="5"/>
    <s v="Single"/>
    <n v="3"/>
    <n v="7"/>
    <s v="Instagram"/>
    <n v="1"/>
    <s v="7.2"/>
    <s v="OK"/>
    <b v="1"/>
    <s v="High"/>
    <s v="7"/>
    <n v="5.7"/>
    <b v="1"/>
  </r>
  <r>
    <n v="192"/>
    <n v="22"/>
    <s v="Male"/>
    <s v="Graduate"/>
    <s v="India"/>
    <n v="4.8"/>
    <x v="4"/>
    <s v="No"/>
    <n v="8"/>
    <n v="7"/>
    <s v="In Relationship"/>
    <n v="2"/>
    <n v="6"/>
    <s v="Facebook"/>
    <n v="0"/>
    <s v="8"/>
    <s v="OK"/>
    <s v="medium"/>
    <s v="Medium"/>
    <s v="6"/>
    <n v="5.7"/>
    <b v="1"/>
  </r>
  <r>
    <n v="193"/>
    <n v="19"/>
    <s v="Female"/>
    <s v="Undergraduate"/>
    <s v="Nepal"/>
    <n v="6"/>
    <x v="2"/>
    <s v="Yes"/>
    <n v="5"/>
    <n v="6"/>
    <s v="Single"/>
    <n v="4"/>
    <n v="8"/>
    <s v="Tiktok"/>
    <n v="2"/>
    <s v="5"/>
    <s v="OK"/>
    <b v="1"/>
    <s v="High"/>
    <s v="8"/>
    <n v="5.7"/>
    <b v="1"/>
  </r>
  <r>
    <n v="194"/>
    <n v="21"/>
    <s v="Male"/>
    <s v="Graduate"/>
    <s v="Pakistan"/>
    <n v="4.2"/>
    <x v="0"/>
    <s v="Yes"/>
    <n v="7.3"/>
    <n v="5"/>
    <s v="In Relationship"/>
    <n v="3"/>
    <n v="7"/>
    <s v="Instagram"/>
    <n v="1"/>
    <s v="7.3"/>
    <s v="OK"/>
    <b v="1"/>
    <s v="High"/>
    <s v="7"/>
    <n v="5.7"/>
    <b v="1"/>
  </r>
  <r>
    <n v="195"/>
    <n v="20"/>
    <s v="Female"/>
    <s v="Undergraduate"/>
    <s v="Sri Lanka"/>
    <n v="4.5999999999999996"/>
    <x v="4"/>
    <s v="No"/>
    <n v="8.1"/>
    <n v="7"/>
    <s v="Single"/>
    <n v="2"/>
    <n v="5"/>
    <s v="Facebook"/>
    <n v="0"/>
    <s v="8.1"/>
    <s v="OK"/>
    <s v="medium"/>
    <s v="Medium"/>
    <s v="5"/>
    <n v="5.7"/>
    <b v="1"/>
  </r>
  <r>
    <n v="196"/>
    <n v="22"/>
    <s v="Male"/>
    <s v="Graduate"/>
    <s v="Maldives"/>
    <n v="4.9000000000000004"/>
    <x v="2"/>
    <s v="Yes"/>
    <n v="4.9000000000000004"/>
    <n v="6"/>
    <s v="In Relationship"/>
    <n v="4"/>
    <n v="8"/>
    <s v="Tiktok"/>
    <n v="2"/>
    <s v="4.9"/>
    <s v="LESS SLEEP"/>
    <b v="1"/>
    <s v="High"/>
    <s v="8"/>
    <n v="5.7"/>
    <b v="1"/>
  </r>
  <r>
    <n v="197"/>
    <n v="19"/>
    <s v="Female"/>
    <s v="Undergraduate"/>
    <s v="Bangladesh"/>
    <n v="4.4000000000000004"/>
    <x v="0"/>
    <s v="Yes"/>
    <n v="7.4"/>
    <n v="5"/>
    <s v="Single"/>
    <n v="3"/>
    <n v="7"/>
    <s v="Instagram"/>
    <n v="1"/>
    <s v="7.4"/>
    <s v="OK"/>
    <b v="1"/>
    <s v="High"/>
    <s v="7"/>
    <n v="5.7"/>
    <b v="1"/>
  </r>
  <r>
    <n v="198"/>
    <n v="21"/>
    <s v="Male"/>
    <s v="Graduate"/>
    <s v="India"/>
    <n v="4.7"/>
    <x v="4"/>
    <s v="No"/>
    <n v="8.1999999999999993"/>
    <n v="7"/>
    <s v="In Relationship"/>
    <n v="2"/>
    <n v="6"/>
    <s v="Facebook"/>
    <n v="0"/>
    <s v="8.2"/>
    <s v="OK"/>
    <s v="medium"/>
    <s v="Medium"/>
    <s v="6"/>
    <n v="5.7"/>
    <b v="1"/>
  </r>
  <r>
    <n v="199"/>
    <n v="20"/>
    <s v="Female"/>
    <s v="Undergraduate"/>
    <s v="Nepal"/>
    <n v="6.1"/>
    <x v="2"/>
    <s v="Yes"/>
    <n v="4.8"/>
    <n v="6"/>
    <s v="Single"/>
    <n v="4"/>
    <n v="8"/>
    <s v="Tiktok"/>
    <n v="2"/>
    <s v="4.8"/>
    <s v="LESS SLEEP"/>
    <b v="1"/>
    <s v="High"/>
    <s v="8"/>
    <n v="5.7"/>
    <b v="1"/>
  </r>
  <r>
    <n v="200"/>
    <n v="22"/>
    <s v="Male"/>
    <s v="Graduate"/>
    <s v="Pakistan"/>
    <n v="4.0999999999999996"/>
    <x v="0"/>
    <s v="Yes"/>
    <n v="7.5"/>
    <n v="5"/>
    <s v="In Relationship"/>
    <n v="3"/>
    <n v="7"/>
    <s v="Instagram"/>
    <n v="1"/>
    <s v="7.5"/>
    <s v="OK"/>
    <b v="1"/>
    <s v="High"/>
    <s v="7"/>
    <n v="5.7"/>
    <b v="1"/>
  </r>
  <r>
    <n v="201"/>
    <n v="19"/>
    <s v="Female"/>
    <s v="Undergraduate"/>
    <s v="Sri Lanka"/>
    <n v="4.5"/>
    <x v="4"/>
    <s v="No"/>
    <n v="8.3000000000000007"/>
    <n v="7"/>
    <s v="Single"/>
    <n v="2"/>
    <n v="5"/>
    <s v="Facebook"/>
    <n v="0"/>
    <s v="8.3"/>
    <s v="OK"/>
    <s v="medium"/>
    <s v="Medium"/>
    <s v="5"/>
    <n v="5.6"/>
    <b v="1"/>
  </r>
  <r>
    <n v="202"/>
    <n v="21"/>
    <s v="Male"/>
    <s v="Graduate"/>
    <s v="Maldives"/>
    <n v="4.8"/>
    <x v="2"/>
    <s v="Yes"/>
    <n v="4.7"/>
    <n v="6"/>
    <s v="In Relationship"/>
    <n v="4"/>
    <n v="8"/>
    <s v="Tiktok"/>
    <n v="2"/>
    <s v="4.7"/>
    <s v="LESS SLEEP"/>
    <b v="1"/>
    <s v="High"/>
    <s v="8"/>
    <n v="5.6"/>
    <b v="1"/>
  </r>
  <r>
    <n v="203"/>
    <n v="20"/>
    <s v="Female"/>
    <s v="Undergraduate"/>
    <s v="Bangladesh"/>
    <n v="4.3"/>
    <x v="0"/>
    <s v="Yes"/>
    <n v="7.6"/>
    <n v="5"/>
    <s v="Single"/>
    <n v="3"/>
    <n v="7"/>
    <s v="Instagram"/>
    <n v="1"/>
    <s v="7.6"/>
    <s v="OK"/>
    <b v="1"/>
    <s v="High"/>
    <s v="7"/>
    <n v="5.6"/>
    <b v="1"/>
  </r>
  <r>
    <n v="204"/>
    <n v="22"/>
    <s v="Male"/>
    <s v="Graduate"/>
    <s v="India"/>
    <n v="4.5999999999999996"/>
    <x v="4"/>
    <s v="No"/>
    <n v="8.4"/>
    <n v="7"/>
    <s v="In Relationship"/>
    <n v="2"/>
    <n v="6"/>
    <s v="Facebook"/>
    <n v="0"/>
    <s v="8.4"/>
    <s v="OK"/>
    <s v="medium"/>
    <s v="Medium"/>
    <s v="6"/>
    <n v="5.6"/>
    <b v="1"/>
  </r>
  <r>
    <n v="205"/>
    <n v="19"/>
    <s v="Female"/>
    <s v="Undergraduate"/>
    <s v="Nepal"/>
    <n v="6.2"/>
    <x v="2"/>
    <s v="Yes"/>
    <n v="4.5999999999999996"/>
    <n v="6"/>
    <s v="Single"/>
    <n v="4"/>
    <n v="8"/>
    <s v="Tiktok"/>
    <n v="2"/>
    <s v="4.6"/>
    <s v="LESS SLEEP"/>
    <b v="1"/>
    <s v="High"/>
    <s v="8"/>
    <n v="5.6"/>
    <b v="1"/>
  </r>
  <r>
    <n v="206"/>
    <n v="21"/>
    <s v="Male"/>
    <s v="Graduate"/>
    <s v="Pakistan"/>
    <n v="4"/>
    <x v="0"/>
    <s v="Yes"/>
    <n v="7.7"/>
    <n v="5"/>
    <s v="In Relationship"/>
    <n v="3"/>
    <n v="7"/>
    <s v="Instagram"/>
    <n v="1"/>
    <s v="7.7"/>
    <s v="OK"/>
    <b v="1"/>
    <s v="High"/>
    <s v="7"/>
    <n v="5.6"/>
    <b v="1"/>
  </r>
  <r>
    <n v="207"/>
    <n v="20"/>
    <s v="Female"/>
    <s v="Undergraduate"/>
    <s v="Sri Lanka"/>
    <n v="4.4000000000000004"/>
    <x v="4"/>
    <s v="No"/>
    <n v="8.5"/>
    <n v="7"/>
    <s v="Single"/>
    <n v="2"/>
    <n v="5"/>
    <s v="Facebook"/>
    <n v="0"/>
    <s v="8.5"/>
    <s v="OK"/>
    <s v="medium"/>
    <s v="Medium"/>
    <s v="5"/>
    <n v="5.6"/>
    <b v="1"/>
  </r>
  <r>
    <n v="208"/>
    <n v="22"/>
    <s v="Male"/>
    <s v="Graduate"/>
    <s v="Maldives"/>
    <n v="4.7"/>
    <x v="2"/>
    <s v="Yes"/>
    <n v="4.5"/>
    <n v="6"/>
    <s v="In Relationship"/>
    <n v="4"/>
    <n v="8"/>
    <s v="Tiktok"/>
    <n v="2"/>
    <s v="4.5"/>
    <s v="LESS SLEEP"/>
    <b v="1"/>
    <s v="High"/>
    <s v="8"/>
    <n v="5.6"/>
    <b v="1"/>
  </r>
  <r>
    <n v="209"/>
    <n v="19"/>
    <s v="Female"/>
    <s v="Undergraduate"/>
    <s v="Bangladesh"/>
    <n v="4.2"/>
    <x v="0"/>
    <s v="Yes"/>
    <n v="7.8"/>
    <n v="5"/>
    <s v="Single"/>
    <n v="3"/>
    <n v="7"/>
    <s v="Instagram"/>
    <n v="1"/>
    <s v="7.8"/>
    <s v="OK"/>
    <b v="1"/>
    <s v="High"/>
    <s v="7"/>
    <n v="5.6"/>
    <b v="1"/>
  </r>
  <r>
    <n v="210"/>
    <n v="21"/>
    <s v="Male"/>
    <s v="Graduate"/>
    <s v="India"/>
    <n v="4.5"/>
    <x v="4"/>
    <s v="No"/>
    <n v="8.6"/>
    <n v="7"/>
    <s v="In Relationship"/>
    <n v="2"/>
    <n v="6"/>
    <s v="Facebook"/>
    <n v="0"/>
    <s v="8.6"/>
    <s v="OK"/>
    <s v="medium"/>
    <s v="Medium"/>
    <s v="6"/>
    <n v="5.6"/>
    <b v="1"/>
  </r>
  <r>
    <n v="211"/>
    <n v="20"/>
    <s v="Female"/>
    <s v="Undergraduate"/>
    <s v="Nepal"/>
    <n v="6.3"/>
    <x v="2"/>
    <s v="Yes"/>
    <n v="4.4000000000000004"/>
    <n v="6"/>
    <s v="Single"/>
    <n v="4"/>
    <n v="8"/>
    <s v="Tiktok"/>
    <n v="2"/>
    <s v="4.4"/>
    <s v="LESS SLEEP"/>
    <b v="1"/>
    <s v="High"/>
    <s v="8"/>
    <n v="5.6"/>
    <b v="1"/>
  </r>
  <r>
    <n v="212"/>
    <n v="22"/>
    <s v="Male"/>
    <s v="Graduate"/>
    <s v="Pakistan"/>
    <n v="3.9"/>
    <x v="0"/>
    <s v="Yes"/>
    <n v="7.9"/>
    <n v="5"/>
    <s v="In Relationship"/>
    <n v="3"/>
    <n v="7"/>
    <s v="Instagram"/>
    <n v="1"/>
    <s v="7.9"/>
    <s v="OK"/>
    <b v="1"/>
    <s v="High"/>
    <s v="7"/>
    <n v="5.6"/>
    <b v="1"/>
  </r>
  <r>
    <n v="213"/>
    <n v="19"/>
    <s v="Female"/>
    <s v="Undergraduate"/>
    <s v="Sri Lanka"/>
    <n v="4.3"/>
    <x v="4"/>
    <s v="No"/>
    <n v="8.6999999999999993"/>
    <n v="7"/>
    <s v="Single"/>
    <n v="2"/>
    <n v="5"/>
    <s v="Facebook"/>
    <n v="0"/>
    <s v="8.7"/>
    <s v="OK"/>
    <s v="medium"/>
    <s v="Medium"/>
    <s v="5"/>
    <n v="5.6"/>
    <b v="1"/>
  </r>
  <r>
    <n v="214"/>
    <n v="21"/>
    <s v="Male"/>
    <s v="Graduate"/>
    <s v="Maldives"/>
    <n v="4.5999999999999996"/>
    <x v="2"/>
    <s v="Yes"/>
    <n v="4.3"/>
    <n v="6"/>
    <s v="In Relationship"/>
    <n v="4"/>
    <n v="8"/>
    <s v="Tiktok"/>
    <n v="2"/>
    <s v="4.3"/>
    <s v="LESS SLEEP"/>
    <b v="1"/>
    <s v="High"/>
    <s v="8"/>
    <n v="5.6"/>
    <b v="1"/>
  </r>
  <r>
    <n v="215"/>
    <n v="20"/>
    <s v="Female"/>
    <s v="Undergraduate"/>
    <s v="Bangladesh"/>
    <n v="4.0999999999999996"/>
    <x v="0"/>
    <s v="Yes"/>
    <n v="8"/>
    <n v="5"/>
    <s v="Single"/>
    <n v="3"/>
    <n v="7"/>
    <s v="Instagram"/>
    <n v="1"/>
    <s v="8"/>
    <s v="OK"/>
    <b v="1"/>
    <s v="High"/>
    <s v="7"/>
    <n v="5.6"/>
    <b v="1"/>
  </r>
  <r>
    <n v="216"/>
    <n v="22"/>
    <s v="Male"/>
    <s v="Graduate"/>
    <s v="India"/>
    <n v="4.4000000000000004"/>
    <x v="4"/>
    <s v="No"/>
    <n v="8.8000000000000007"/>
    <n v="7"/>
    <s v="In Relationship"/>
    <n v="2"/>
    <n v="6"/>
    <s v="Facebook"/>
    <n v="0"/>
    <s v="8.8"/>
    <s v="OK"/>
    <s v="medium"/>
    <s v="Medium"/>
    <s v="6"/>
    <n v="5.6"/>
    <b v="1"/>
  </r>
  <r>
    <n v="217"/>
    <n v="19"/>
    <s v="Female"/>
    <s v="Undergraduate"/>
    <s v="Nepal"/>
    <n v="6.4"/>
    <x v="2"/>
    <s v="Yes"/>
    <n v="4.2"/>
    <n v="6"/>
    <s v="Single"/>
    <n v="4"/>
    <n v="8"/>
    <s v="Tiktok"/>
    <n v="2"/>
    <s v="4.2"/>
    <s v="LESS SLEEP"/>
    <b v="1"/>
    <s v="High"/>
    <s v="8"/>
    <n v="5.6"/>
    <b v="1"/>
  </r>
  <r>
    <n v="218"/>
    <n v="21"/>
    <s v="Male"/>
    <s v="Graduate"/>
    <s v="Pakistan"/>
    <n v="3.8"/>
    <x v="0"/>
    <s v="Yes"/>
    <n v="8.1"/>
    <n v="5"/>
    <s v="In Relationship"/>
    <n v="3"/>
    <n v="7"/>
    <s v="Instagram"/>
    <n v="1"/>
    <s v="8.1"/>
    <s v="OK"/>
    <b v="1"/>
    <s v="High"/>
    <s v="7"/>
    <n v="5.6"/>
    <b v="1"/>
  </r>
  <r>
    <n v="219"/>
    <n v="20"/>
    <s v="Female"/>
    <s v="Undergraduate"/>
    <s v="Sri Lanka"/>
    <n v="4.2"/>
    <x v="4"/>
    <s v="No"/>
    <n v="8.9"/>
    <n v="7"/>
    <s v="Single"/>
    <n v="2"/>
    <n v="5"/>
    <s v="Facebook"/>
    <n v="0"/>
    <s v="8.9"/>
    <s v="OK"/>
    <s v="medium"/>
    <s v="Medium"/>
    <s v="5"/>
    <n v="5.6"/>
    <b v="1"/>
  </r>
  <r>
    <n v="220"/>
    <n v="22"/>
    <s v="Male"/>
    <s v="Graduate"/>
    <s v="Maldives"/>
    <n v="4.5"/>
    <x v="2"/>
    <s v="Yes"/>
    <n v="4.0999999999999996"/>
    <n v="6"/>
    <s v="In Relationship"/>
    <n v="4"/>
    <n v="8"/>
    <s v="Tiktok"/>
    <n v="2"/>
    <s v="4.1"/>
    <s v="LESS SLEEP"/>
    <b v="1"/>
    <s v="High"/>
    <s v="8"/>
    <n v="5.5"/>
    <b v="1"/>
  </r>
  <r>
    <n v="221"/>
    <n v="19"/>
    <s v="Female"/>
    <s v="Undergraduate"/>
    <s v="USA"/>
    <n v="6.5"/>
    <x v="0"/>
    <s v="Yes"/>
    <n v="6"/>
    <n v="5"/>
    <s v="Single"/>
    <n v="4"/>
    <n v="9"/>
    <s v="Instagram"/>
    <n v="1"/>
    <s v="6"/>
    <s v="OK"/>
    <b v="1"/>
    <s v="High"/>
    <s v="9"/>
    <n v="5.5"/>
    <b v="1"/>
  </r>
  <r>
    <n v="222"/>
    <n v="21"/>
    <s v="Male"/>
    <s v="Graduate"/>
    <s v="UK"/>
    <n v="5.8"/>
    <x v="2"/>
    <s v="Yes"/>
    <n v="6.5"/>
    <n v="6"/>
    <s v="In Relationship"/>
    <n v="3"/>
    <n v="7"/>
    <s v="Tiktok"/>
    <n v="2"/>
    <s v="6.5"/>
    <s v="OK"/>
    <b v="1"/>
    <s v="High"/>
    <s v="7"/>
    <n v="5.5"/>
    <b v="1"/>
  </r>
  <r>
    <n v="223"/>
    <n v="20"/>
    <s v="Female"/>
    <s v="Undergraduate"/>
    <s v="Australia"/>
    <n v="4.5"/>
    <x v="0"/>
    <s v="No"/>
    <n v="7.5"/>
    <n v="8"/>
    <s v="Single"/>
    <n v="2"/>
    <n v="5"/>
    <s v="Instagram"/>
    <n v="1"/>
    <s v="7.5"/>
    <s v="OK"/>
    <s v="medium"/>
    <s v="Medium"/>
    <s v="5"/>
    <n v="5.5"/>
    <b v="1"/>
  </r>
  <r>
    <n v="224"/>
    <n v="22"/>
    <s v="Male"/>
    <s v="Graduate"/>
    <s v="Germany"/>
    <n v="4.2"/>
    <x v="4"/>
    <s v="No"/>
    <n v="7.8"/>
    <n v="7"/>
    <s v="In Relationship"/>
    <n v="2"/>
    <n v="4"/>
    <s v="Facebook"/>
    <n v="0"/>
    <s v="7.8"/>
    <s v="OK"/>
    <s v="medium"/>
    <s v="Low"/>
    <s v="4"/>
    <n v="5.5"/>
    <b v="1"/>
  </r>
  <r>
    <n v="225"/>
    <n v="19"/>
    <s v="Female"/>
    <s v="Undergraduate"/>
    <s v="Japan"/>
    <n v="3.8"/>
    <x v="7"/>
    <s v="No"/>
    <n v="7.9"/>
    <n v="8"/>
    <s v="Single"/>
    <n v="1"/>
    <n v="3"/>
    <s v="Line"/>
    <n v="0"/>
    <s v="7.9"/>
    <s v="OK"/>
    <s v="medium"/>
    <s v="Low"/>
    <s v="3"/>
    <n v="5.5"/>
    <b v="1"/>
  </r>
  <r>
    <n v="226"/>
    <n v="21"/>
    <s v="Male"/>
    <s v="Graduate"/>
    <s v="Italy"/>
    <n v="5.5"/>
    <x v="0"/>
    <s v="Yes"/>
    <n v="6.8"/>
    <n v="6"/>
    <s v="Single"/>
    <n v="3"/>
    <n v="7"/>
    <s v="Instagram"/>
    <n v="1"/>
    <s v="6.8"/>
    <s v="OK"/>
    <b v="1"/>
    <s v="High"/>
    <s v="7"/>
    <n v="5.5"/>
    <b v="1"/>
  </r>
  <r>
    <n v="227"/>
    <n v="20"/>
    <s v="Female"/>
    <s v="Undergraduate"/>
    <s v="South Korea"/>
    <n v="5.2"/>
    <x v="8"/>
    <s v="Yes"/>
    <n v="6.5"/>
    <n v="6"/>
    <s v="In Relationship"/>
    <n v="3"/>
    <n v="6"/>
    <s v="Kakaotalk"/>
    <n v="1"/>
    <s v="6.5"/>
    <s v="OK"/>
    <s v="medium"/>
    <s v="Medium"/>
    <s v="6"/>
    <n v="5.5"/>
    <b v="1"/>
  </r>
  <r>
    <n v="228"/>
    <n v="22"/>
    <s v="Male"/>
    <s v="Graduate"/>
    <s v="Russia"/>
    <n v="4.8"/>
    <x v="9"/>
    <s v="No"/>
    <n v="7.2"/>
    <n v="7"/>
    <s v="Single"/>
    <n v="2"/>
    <n v="5"/>
    <s v="Vkontakte"/>
    <n v="2"/>
    <s v="7.2"/>
    <s v="OK"/>
    <s v="medium"/>
    <s v="Medium"/>
    <s v="5"/>
    <n v="5.5"/>
    <b v="1"/>
  </r>
  <r>
    <n v="229"/>
    <n v="19"/>
    <s v="Female"/>
    <s v="Undergraduate"/>
    <s v="USA"/>
    <n v="7"/>
    <x v="2"/>
    <s v="Yes"/>
    <n v="5.8"/>
    <n v="4"/>
    <s v="In Relationship"/>
    <n v="4"/>
    <n v="9"/>
    <s v="Tiktok"/>
    <n v="2"/>
    <s v="5.8"/>
    <s v="OK"/>
    <b v="1"/>
    <s v="High"/>
    <s v="9"/>
    <n v="5.5"/>
    <b v="1"/>
  </r>
  <r>
    <n v="230"/>
    <n v="21"/>
    <s v="Male"/>
    <s v="Graduate"/>
    <s v="UK"/>
    <n v="5.5"/>
    <x v="0"/>
    <s v="Yes"/>
    <n v="6.7"/>
    <n v="6"/>
    <s v="Single"/>
    <n v="3"/>
    <n v="7"/>
    <s v="Instagram"/>
    <n v="1"/>
    <s v="6.7"/>
    <s v="OK"/>
    <b v="1"/>
    <s v="High"/>
    <s v="7"/>
    <n v="5.5"/>
    <b v="1"/>
  </r>
  <r>
    <n v="231"/>
    <n v="20"/>
    <s v="Female"/>
    <s v="Undergraduate"/>
    <s v="Australia"/>
    <n v="4.7"/>
    <x v="4"/>
    <s v="No"/>
    <n v="7.4"/>
    <n v="7"/>
    <s v="In Relationship"/>
    <n v="2"/>
    <n v="5"/>
    <s v="Facebook"/>
    <n v="0"/>
    <s v="7.4"/>
    <s v="OK"/>
    <s v="medium"/>
    <s v="Medium"/>
    <s v="5"/>
    <n v="5.5"/>
    <b v="1"/>
  </r>
  <r>
    <n v="232"/>
    <n v="22"/>
    <s v="Male"/>
    <s v="Graduate"/>
    <s v="Germany"/>
    <n v="4"/>
    <x v="0"/>
    <s v="No"/>
    <n v="7.9"/>
    <n v="8"/>
    <s v="Single"/>
    <n v="1"/>
    <n v="4"/>
    <s v="Instagram"/>
    <n v="1"/>
    <s v="7.9"/>
    <s v="OK"/>
    <s v="medium"/>
    <s v="Low"/>
    <s v="4"/>
    <n v="5.5"/>
    <b v="1"/>
  </r>
  <r>
    <n v="233"/>
    <n v="19"/>
    <s v="Female"/>
    <s v="Undergraduate"/>
    <s v="Japan"/>
    <n v="3.5"/>
    <x v="7"/>
    <s v="No"/>
    <n v="8"/>
    <n v="8"/>
    <s v="Single"/>
    <n v="1"/>
    <n v="3"/>
    <s v="Line"/>
    <n v="0"/>
    <s v="8"/>
    <s v="OK"/>
    <s v="medium"/>
    <s v="Low"/>
    <s v="3"/>
    <n v="5.5"/>
    <b v="1"/>
  </r>
  <r>
    <n v="234"/>
    <n v="21"/>
    <s v="Male"/>
    <s v="Graduate"/>
    <s v="Italy"/>
    <n v="5.7"/>
    <x v="2"/>
    <s v="Yes"/>
    <n v="6.5"/>
    <n v="5"/>
    <s v="In Relationship"/>
    <n v="3"/>
    <n v="8"/>
    <s v="Tiktok"/>
    <n v="2"/>
    <s v="6.5"/>
    <s v="OK"/>
    <b v="1"/>
    <s v="High"/>
    <s v="8"/>
    <n v="5.5"/>
    <b v="1"/>
  </r>
  <r>
    <n v="235"/>
    <n v="20"/>
    <s v="Female"/>
    <s v="Undergraduate"/>
    <s v="South Korea"/>
    <n v="5"/>
    <x v="8"/>
    <s v="Yes"/>
    <n v="6.8"/>
    <n v="6"/>
    <s v="Single"/>
    <n v="3"/>
    <n v="6"/>
    <s v="Kakaotalk"/>
    <n v="1"/>
    <s v="6.8"/>
    <s v="OK"/>
    <s v="medium"/>
    <s v="Medium"/>
    <s v="6"/>
    <n v="5.5"/>
    <b v="1"/>
  </r>
  <r>
    <n v="236"/>
    <n v="22"/>
    <s v="Male"/>
    <s v="Graduate"/>
    <s v="Russia"/>
    <n v="4.5"/>
    <x v="9"/>
    <s v="No"/>
    <n v="7.4"/>
    <n v="7"/>
    <s v="In Relationship"/>
    <n v="2"/>
    <n v="5"/>
    <s v="Vkontakte"/>
    <n v="2"/>
    <s v="7.4"/>
    <s v="OK"/>
    <s v="medium"/>
    <s v="Medium"/>
    <s v="5"/>
    <n v="5.5"/>
    <b v="1"/>
  </r>
  <r>
    <n v="237"/>
    <n v="19"/>
    <s v="Female"/>
    <s v="Undergraduate"/>
    <s v="USA"/>
    <n v="6.8"/>
    <x v="0"/>
    <s v="Yes"/>
    <n v="5.9"/>
    <n v="4"/>
    <s v="Single"/>
    <n v="4"/>
    <n v="9"/>
    <s v="Instagram"/>
    <n v="1"/>
    <s v="5.9"/>
    <s v="OK"/>
    <b v="1"/>
    <s v="High"/>
    <s v="9"/>
    <n v="5.5"/>
    <b v="1"/>
  </r>
  <r>
    <n v="238"/>
    <n v="21"/>
    <s v="Male"/>
    <s v="Graduate"/>
    <s v="UK"/>
    <n v="5.6"/>
    <x v="4"/>
    <s v="Yes"/>
    <n v="6.6"/>
    <n v="6"/>
    <s v="In Relationship"/>
    <n v="3"/>
    <n v="7"/>
    <s v="Facebook"/>
    <n v="0"/>
    <s v="6.6"/>
    <s v="OK"/>
    <b v="1"/>
    <s v="High"/>
    <s v="7"/>
    <n v="5.5"/>
    <b v="1"/>
  </r>
  <r>
    <n v="239"/>
    <n v="20"/>
    <s v="Female"/>
    <s v="Undergraduate"/>
    <s v="Australia"/>
    <n v="4.5999999999999996"/>
    <x v="0"/>
    <s v="No"/>
    <n v="7.3"/>
    <n v="7"/>
    <s v="Single"/>
    <n v="2"/>
    <n v="5"/>
    <s v="Instagram"/>
    <n v="1"/>
    <s v="7.3"/>
    <s v="OK"/>
    <s v="medium"/>
    <s v="Medium"/>
    <s v="5"/>
    <n v="5.4"/>
    <b v="1"/>
  </r>
  <r>
    <n v="240"/>
    <n v="22"/>
    <s v="Male"/>
    <s v="Graduate"/>
    <s v="Germany"/>
    <n v="4.0999999999999996"/>
    <x v="4"/>
    <s v="No"/>
    <n v="7.7"/>
    <n v="8"/>
    <s v="In Relationship"/>
    <n v="2"/>
    <n v="4"/>
    <s v="Facebook"/>
    <n v="0"/>
    <s v="7.7"/>
    <s v="OK"/>
    <s v="medium"/>
    <s v="Low"/>
    <s v="4"/>
    <n v="5.4"/>
    <b v="1"/>
  </r>
  <r>
    <n v="241"/>
    <n v="19"/>
    <s v="Female"/>
    <s v="Undergraduate"/>
    <s v="Japan"/>
    <n v="3.7"/>
    <x v="7"/>
    <s v="No"/>
    <n v="7.8"/>
    <n v="8"/>
    <s v="Single"/>
    <n v="1"/>
    <n v="3"/>
    <s v="Line"/>
    <n v="0"/>
    <s v="7.8"/>
    <s v="OK"/>
    <s v="medium"/>
    <s v="Low"/>
    <s v="3"/>
    <n v="5.4"/>
    <b v="1"/>
  </r>
  <r>
    <n v="242"/>
    <n v="21"/>
    <s v="Male"/>
    <s v="Graduate"/>
    <s v="Italy"/>
    <n v="5.4"/>
    <x v="0"/>
    <s v="Yes"/>
    <n v="6.7"/>
    <n v="5"/>
    <s v="Single"/>
    <n v="3"/>
    <n v="7"/>
    <s v="Instagram"/>
    <n v="1"/>
    <s v="6.7"/>
    <s v="OK"/>
    <b v="1"/>
    <s v="High"/>
    <s v="7"/>
    <n v="5.4"/>
    <b v="1"/>
  </r>
  <r>
    <n v="243"/>
    <n v="20"/>
    <s v="Female"/>
    <s v="Undergraduate"/>
    <s v="South Korea"/>
    <n v="5.0999999999999996"/>
    <x v="8"/>
    <s v="Yes"/>
    <n v="6.6"/>
    <n v="6"/>
    <s v="In Relationship"/>
    <n v="3"/>
    <n v="6"/>
    <s v="Kakaotalk"/>
    <n v="1"/>
    <s v="6.6"/>
    <s v="OK"/>
    <s v="medium"/>
    <s v="Medium"/>
    <s v="6"/>
    <n v="5.4"/>
    <b v="1"/>
  </r>
  <r>
    <n v="244"/>
    <n v="22"/>
    <s v="Male"/>
    <s v="Graduate"/>
    <s v="Russia"/>
    <n v="4.7"/>
    <x v="9"/>
    <s v="No"/>
    <n v="7.3"/>
    <n v="7"/>
    <s v="Single"/>
    <n v="2"/>
    <n v="5"/>
    <s v="Vkontakte"/>
    <n v="2"/>
    <s v="7.3"/>
    <s v="OK"/>
    <s v="medium"/>
    <s v="Medium"/>
    <s v="5"/>
    <n v="5.4"/>
    <b v="1"/>
  </r>
  <r>
    <n v="245"/>
    <n v="19"/>
    <s v="Female"/>
    <s v="Undergraduate"/>
    <s v="USA"/>
    <n v="6.9"/>
    <x v="2"/>
    <s v="Yes"/>
    <n v="5.7"/>
    <n v="4"/>
    <s v="In Relationship"/>
    <n v="4"/>
    <n v="9"/>
    <s v="Tiktok"/>
    <n v="2"/>
    <s v="5.7"/>
    <s v="OK"/>
    <b v="1"/>
    <s v="High"/>
    <s v="9"/>
    <n v="5.4"/>
    <b v="1"/>
  </r>
  <r>
    <n v="246"/>
    <n v="21"/>
    <s v="Male"/>
    <s v="Graduate"/>
    <s v="UK"/>
    <n v="5.7"/>
    <x v="0"/>
    <s v="Yes"/>
    <n v="6.4"/>
    <n v="6"/>
    <s v="Single"/>
    <n v="3"/>
    <n v="7"/>
    <s v="Instagram"/>
    <n v="1"/>
    <s v="6.4"/>
    <s v="OK"/>
    <b v="1"/>
    <s v="High"/>
    <s v="7"/>
    <n v="5.4"/>
    <b v="1"/>
  </r>
  <r>
    <n v="247"/>
    <n v="20"/>
    <s v="Female"/>
    <s v="Undergraduate"/>
    <s v="Australia"/>
    <n v="4.8"/>
    <x v="4"/>
    <s v="No"/>
    <n v="7.2"/>
    <n v="7"/>
    <s v="In Relationship"/>
    <n v="2"/>
    <n v="5"/>
    <s v="Facebook"/>
    <n v="0"/>
    <s v="7.2"/>
    <s v="OK"/>
    <s v="medium"/>
    <s v="Medium"/>
    <s v="5"/>
    <n v="5.4"/>
    <b v="1"/>
  </r>
  <r>
    <n v="248"/>
    <n v="22"/>
    <s v="Male"/>
    <s v="Graduate"/>
    <s v="Germany"/>
    <n v="3.9"/>
    <x v="0"/>
    <s v="No"/>
    <n v="7.8"/>
    <n v="8"/>
    <s v="Single"/>
    <n v="1"/>
    <n v="4"/>
    <s v="Instagram"/>
    <n v="1"/>
    <s v="7.8"/>
    <s v="OK"/>
    <s v="medium"/>
    <s v="Low"/>
    <s v="4"/>
    <n v="5.4"/>
    <b v="1"/>
  </r>
  <r>
    <n v="249"/>
    <n v="19"/>
    <s v="Female"/>
    <s v="Undergraduate"/>
    <s v="Japan"/>
    <n v="3.6"/>
    <x v="7"/>
    <s v="No"/>
    <n v="8.1"/>
    <n v="8"/>
    <s v="Single"/>
    <n v="1"/>
    <n v="3"/>
    <s v="Line"/>
    <n v="0"/>
    <s v="8.1"/>
    <s v="OK"/>
    <s v="medium"/>
    <s v="Low"/>
    <s v="3"/>
    <n v="5.4"/>
    <b v="1"/>
  </r>
  <r>
    <n v="250"/>
    <n v="21"/>
    <s v="Male"/>
    <s v="Graduate"/>
    <s v="Italy"/>
    <n v="5.6"/>
    <x v="2"/>
    <s v="Yes"/>
    <n v="6.6"/>
    <n v="5"/>
    <s v="In Relationship"/>
    <n v="3"/>
    <n v="8"/>
    <s v="Tiktok"/>
    <n v="2"/>
    <s v="6.6"/>
    <s v="OK"/>
    <b v="1"/>
    <s v="High"/>
    <s v="8"/>
    <n v="5.4"/>
    <b v="1"/>
  </r>
  <r>
    <n v="251"/>
    <n v="20"/>
    <s v="Female"/>
    <s v="Undergraduate"/>
    <s v="South Korea"/>
    <n v="4.9000000000000004"/>
    <x v="8"/>
    <s v="Yes"/>
    <n v="6.9"/>
    <n v="6"/>
    <s v="Single"/>
    <n v="3"/>
    <n v="6"/>
    <s v="Kakaotalk"/>
    <n v="1"/>
    <s v="6.9"/>
    <s v="OK"/>
    <s v="medium"/>
    <s v="Medium"/>
    <s v="6"/>
    <n v="5.4"/>
    <b v="1"/>
  </r>
  <r>
    <n v="252"/>
    <n v="22"/>
    <s v="Male"/>
    <s v="Graduate"/>
    <s v="Russia"/>
    <n v="4.5999999999999996"/>
    <x v="9"/>
    <s v="No"/>
    <n v="7.5"/>
    <n v="7"/>
    <s v="In Relationship"/>
    <n v="2"/>
    <n v="5"/>
    <s v="Vkontakte"/>
    <n v="2"/>
    <s v="7.5"/>
    <s v="OK"/>
    <s v="medium"/>
    <s v="Medium"/>
    <s v="5"/>
    <n v="5.4"/>
    <b v="1"/>
  </r>
  <r>
    <n v="253"/>
    <n v="19"/>
    <s v="Female"/>
    <s v="Undergraduate"/>
    <s v="USA"/>
    <n v="6.7"/>
    <x v="0"/>
    <s v="Yes"/>
    <n v="5.8"/>
    <n v="4"/>
    <s v="Single"/>
    <n v="4"/>
    <n v="9"/>
    <s v="Instagram"/>
    <n v="1"/>
    <s v="5.8"/>
    <s v="OK"/>
    <b v="1"/>
    <s v="High"/>
    <s v="9"/>
    <n v="5.3"/>
    <b v="1"/>
  </r>
  <r>
    <n v="254"/>
    <n v="21"/>
    <s v="Male"/>
    <s v="Graduate"/>
    <s v="UK"/>
    <n v="5.4"/>
    <x v="4"/>
    <s v="Yes"/>
    <n v="6.5"/>
    <n v="6"/>
    <s v="In Relationship"/>
    <n v="3"/>
    <n v="7"/>
    <s v="Facebook"/>
    <n v="0"/>
    <s v="6.5"/>
    <s v="OK"/>
    <b v="1"/>
    <s v="High"/>
    <s v="7"/>
    <n v="5.3"/>
    <b v="1"/>
  </r>
  <r>
    <n v="255"/>
    <n v="20"/>
    <s v="Female"/>
    <s v="Undergraduate"/>
    <s v="Australia"/>
    <n v="4.4000000000000004"/>
    <x v="0"/>
    <s v="No"/>
    <n v="7.4"/>
    <n v="7"/>
    <s v="Single"/>
    <n v="2"/>
    <n v="5"/>
    <s v="Instagram"/>
    <n v="1"/>
    <s v="7.4"/>
    <s v="OK"/>
    <s v="medium"/>
    <s v="Medium"/>
    <s v="5"/>
    <n v="5.3"/>
    <b v="1"/>
  </r>
  <r>
    <n v="256"/>
    <n v="22"/>
    <s v="Male"/>
    <s v="Graduate"/>
    <s v="Germany"/>
    <n v="4"/>
    <x v="4"/>
    <s v="No"/>
    <n v="7.6"/>
    <n v="8"/>
    <s v="In Relationship"/>
    <n v="2"/>
    <n v="4"/>
    <s v="Facebook"/>
    <n v="0"/>
    <s v="7.6"/>
    <s v="OK"/>
    <s v="medium"/>
    <s v="Low"/>
    <s v="4"/>
    <n v="5.3"/>
    <b v="1"/>
  </r>
  <r>
    <n v="257"/>
    <n v="19"/>
    <s v="Female"/>
    <s v="Undergraduate"/>
    <s v="Japan"/>
    <n v="3.4"/>
    <x v="7"/>
    <s v="No"/>
    <n v="8.1999999999999993"/>
    <n v="8"/>
    <s v="Single"/>
    <n v="1"/>
    <n v="3"/>
    <s v="Line"/>
    <n v="0"/>
    <s v="8.2"/>
    <s v="OK"/>
    <s v="medium"/>
    <s v="Low"/>
    <s v="3"/>
    <n v="5.3"/>
    <b v="1"/>
  </r>
  <r>
    <n v="258"/>
    <n v="21"/>
    <s v="Male"/>
    <s v="Graduate"/>
    <s v="Italy"/>
    <n v="5.3"/>
    <x v="0"/>
    <s v="Yes"/>
    <n v="6.8"/>
    <n v="5"/>
    <s v="Single"/>
    <n v="3"/>
    <n v="7"/>
    <s v="Instagram"/>
    <n v="1"/>
    <s v="6.8"/>
    <s v="OK"/>
    <b v="1"/>
    <s v="High"/>
    <s v="7"/>
    <n v="5.3"/>
    <b v="1"/>
  </r>
  <r>
    <n v="259"/>
    <n v="20"/>
    <s v="Female"/>
    <s v="Undergraduate"/>
    <s v="South Korea"/>
    <n v="5"/>
    <x v="8"/>
    <s v="Yes"/>
    <n v="6.7"/>
    <n v="6"/>
    <s v="In Relationship"/>
    <n v="3"/>
    <n v="6"/>
    <s v="Kakaotalk"/>
    <n v="1"/>
    <s v="6.7"/>
    <s v="OK"/>
    <s v="medium"/>
    <s v="Medium"/>
    <s v="6"/>
    <n v="5.3"/>
    <b v="1"/>
  </r>
  <r>
    <n v="260"/>
    <n v="22"/>
    <s v="Male"/>
    <s v="Graduate"/>
    <s v="Russia"/>
    <n v="4.4000000000000004"/>
    <x v="9"/>
    <s v="No"/>
    <n v="7.6"/>
    <n v="7"/>
    <s v="Single"/>
    <n v="2"/>
    <n v="5"/>
    <s v="Vkontakte"/>
    <n v="2"/>
    <s v="7.6"/>
    <s v="OK"/>
    <s v="medium"/>
    <s v="Medium"/>
    <s v="5"/>
    <n v="5.3"/>
    <b v="1"/>
  </r>
  <r>
    <n v="261"/>
    <n v="19"/>
    <s v="Female"/>
    <s v="Undergraduate"/>
    <s v="USA"/>
    <n v="6.6"/>
    <x v="2"/>
    <s v="Yes"/>
    <n v="5.6"/>
    <n v="4"/>
    <s v="In Relationship"/>
    <n v="4"/>
    <n v="9"/>
    <s v="Tiktok"/>
    <n v="2"/>
    <s v="5.6"/>
    <s v="OK"/>
    <b v="1"/>
    <s v="High"/>
    <s v="9"/>
    <n v="5.3"/>
    <b v="1"/>
  </r>
  <r>
    <n v="262"/>
    <n v="21"/>
    <s v="Male"/>
    <s v="Graduate"/>
    <s v="UK"/>
    <n v="5.3"/>
    <x v="0"/>
    <s v="Yes"/>
    <n v="6.3"/>
    <n v="6"/>
    <s v="Single"/>
    <n v="3"/>
    <n v="7"/>
    <s v="Instagram"/>
    <n v="1"/>
    <s v="6.3"/>
    <s v="OK"/>
    <b v="1"/>
    <s v="High"/>
    <s v="7"/>
    <n v="5.3"/>
    <b v="1"/>
  </r>
  <r>
    <n v="263"/>
    <n v="20"/>
    <s v="Female"/>
    <s v="Undergraduate"/>
    <s v="Australia"/>
    <n v="4.3"/>
    <x v="4"/>
    <s v="No"/>
    <n v="7.5"/>
    <n v="7"/>
    <s v="In Relationship"/>
    <n v="2"/>
    <n v="5"/>
    <s v="Facebook"/>
    <n v="0"/>
    <s v="7.5"/>
    <s v="OK"/>
    <s v="medium"/>
    <s v="Medium"/>
    <s v="5"/>
    <n v="5.3"/>
    <b v="1"/>
  </r>
  <r>
    <n v="264"/>
    <n v="22"/>
    <s v="Male"/>
    <s v="Graduate"/>
    <s v="Germany"/>
    <n v="3.8"/>
    <x v="0"/>
    <s v="No"/>
    <n v="7.7"/>
    <n v="8"/>
    <s v="Single"/>
    <n v="1"/>
    <n v="4"/>
    <s v="Instagram"/>
    <n v="1"/>
    <s v="7.7"/>
    <s v="OK"/>
    <s v="medium"/>
    <s v="Low"/>
    <s v="4"/>
    <n v="5.3"/>
    <b v="1"/>
  </r>
  <r>
    <n v="265"/>
    <n v="19"/>
    <s v="Female"/>
    <s v="Undergraduate"/>
    <s v="Japan"/>
    <n v="3.3"/>
    <x v="7"/>
    <s v="No"/>
    <n v="8.3000000000000007"/>
    <n v="8"/>
    <s v="Single"/>
    <n v="1"/>
    <n v="3"/>
    <s v="Line"/>
    <n v="0"/>
    <s v="8.3"/>
    <s v="OK"/>
    <s v="medium"/>
    <s v="Low"/>
    <s v="3"/>
    <n v="5.3"/>
    <b v="1"/>
  </r>
  <r>
    <n v="266"/>
    <n v="21"/>
    <s v="Male"/>
    <s v="Graduate"/>
    <s v="Italy"/>
    <n v="5.2"/>
    <x v="2"/>
    <s v="Yes"/>
    <n v="6.9"/>
    <n v="5"/>
    <s v="In Relationship"/>
    <n v="3"/>
    <n v="8"/>
    <s v="Tiktok"/>
    <n v="2"/>
    <s v="6.9"/>
    <s v="OK"/>
    <b v="1"/>
    <s v="High"/>
    <s v="8"/>
    <n v="5.3"/>
    <b v="1"/>
  </r>
  <r>
    <n v="267"/>
    <n v="20"/>
    <s v="Female"/>
    <s v="Undergraduate"/>
    <s v="South Korea"/>
    <n v="4.8"/>
    <x v="8"/>
    <s v="Yes"/>
    <n v="7"/>
    <n v="6"/>
    <s v="Single"/>
    <n v="3"/>
    <n v="6"/>
    <s v="Kakaotalk"/>
    <n v="1"/>
    <s v="7"/>
    <s v="OK"/>
    <s v="medium"/>
    <s v="Medium"/>
    <s v="6"/>
    <n v="5.2"/>
    <b v="1"/>
  </r>
  <r>
    <n v="268"/>
    <n v="22"/>
    <s v="Male"/>
    <s v="Graduate"/>
    <s v="Russia"/>
    <n v="4.3"/>
    <x v="9"/>
    <s v="No"/>
    <n v="7.7"/>
    <n v="7"/>
    <s v="In Relationship"/>
    <n v="2"/>
    <n v="5"/>
    <s v="Vkontakte"/>
    <n v="2"/>
    <s v="7.7"/>
    <s v="OK"/>
    <s v="medium"/>
    <s v="Medium"/>
    <s v="5"/>
    <n v="5.2"/>
    <b v="1"/>
  </r>
  <r>
    <n v="269"/>
    <n v="19"/>
    <s v="Female"/>
    <s v="Undergraduate"/>
    <s v="USA"/>
    <n v="6.4"/>
    <x v="0"/>
    <s v="Yes"/>
    <n v="5.7"/>
    <n v="4"/>
    <s v="Single"/>
    <n v="4"/>
    <n v="9"/>
    <s v="Instagram"/>
    <n v="1"/>
    <s v="5.7"/>
    <s v="OK"/>
    <b v="1"/>
    <s v="High"/>
    <s v="9"/>
    <n v="5.2"/>
    <b v="1"/>
  </r>
  <r>
    <n v="270"/>
    <n v="21"/>
    <s v="Male"/>
    <s v="Graduate"/>
    <s v="UK"/>
    <n v="5.2"/>
    <x v="4"/>
    <s v="Yes"/>
    <n v="6.4"/>
    <n v="6"/>
    <s v="In Relationship"/>
    <n v="3"/>
    <n v="7"/>
    <s v="Facebook"/>
    <n v="0"/>
    <s v="6.4"/>
    <s v="OK"/>
    <b v="1"/>
    <s v="High"/>
    <s v="7"/>
    <n v="5.2"/>
    <b v="1"/>
  </r>
  <r>
    <n v="271"/>
    <n v="20"/>
    <s v="Female"/>
    <s v="Undergraduate"/>
    <s v="Australia"/>
    <n v="4.5"/>
    <x v="0"/>
    <s v="No"/>
    <n v="7.3"/>
    <n v="7"/>
    <s v="Single"/>
    <n v="2"/>
    <n v="5"/>
    <s v="Instagram"/>
    <n v="1"/>
    <s v="7.3"/>
    <s v="OK"/>
    <s v="medium"/>
    <s v="Medium"/>
    <s v="5"/>
    <n v="5.2"/>
    <b v="1"/>
  </r>
  <r>
    <n v="272"/>
    <n v="22"/>
    <s v="Male"/>
    <s v="Graduate"/>
    <s v="Germany"/>
    <n v="3.7"/>
    <x v="4"/>
    <s v="No"/>
    <n v="7.8"/>
    <n v="8"/>
    <s v="In Relationship"/>
    <n v="1"/>
    <n v="4"/>
    <s v="Facebook"/>
    <n v="0"/>
    <s v="7.8"/>
    <s v="OK"/>
    <s v="medium"/>
    <s v="Low"/>
    <s v="4"/>
    <n v="5.2"/>
    <b v="1"/>
  </r>
  <r>
    <n v="273"/>
    <n v="19"/>
    <s v="Female"/>
    <s v="Undergraduate"/>
    <s v="Japan"/>
    <n v="3.2"/>
    <x v="7"/>
    <s v="No"/>
    <n v="8.4"/>
    <n v="8"/>
    <s v="Single"/>
    <n v="1"/>
    <n v="3"/>
    <s v="Line"/>
    <n v="0"/>
    <s v="8.4"/>
    <s v="OK"/>
    <s v="medium"/>
    <s v="Low"/>
    <s v="3"/>
    <n v="5.2"/>
    <b v="1"/>
  </r>
  <r>
    <n v="274"/>
    <n v="21"/>
    <s v="Male"/>
    <s v="Graduate"/>
    <s v="Italy"/>
    <n v="5.4"/>
    <x v="0"/>
    <s v="Yes"/>
    <n v="6.7"/>
    <n v="5"/>
    <s v="Single"/>
    <n v="3"/>
    <n v="7"/>
    <s v="Instagram"/>
    <n v="1"/>
    <s v="6.7"/>
    <s v="OK"/>
    <b v="1"/>
    <s v="High"/>
    <s v="7"/>
    <n v="5.2"/>
    <b v="1"/>
  </r>
  <r>
    <n v="275"/>
    <n v="20"/>
    <s v="Female"/>
    <s v="Undergraduate"/>
    <s v="South Korea"/>
    <n v="4.7"/>
    <x v="8"/>
    <s v="Yes"/>
    <n v="7.1"/>
    <n v="6"/>
    <s v="In Relationship"/>
    <n v="3"/>
    <n v="6"/>
    <s v="Kakaotalk"/>
    <n v="1"/>
    <s v="7.1"/>
    <s v="OK"/>
    <s v="medium"/>
    <s v="Medium"/>
    <s v="6"/>
    <n v="5.2"/>
    <b v="1"/>
  </r>
  <r>
    <n v="276"/>
    <n v="22"/>
    <s v="Male"/>
    <s v="Graduate"/>
    <s v="Russia"/>
    <n v="4.2"/>
    <x v="9"/>
    <s v="No"/>
    <n v="7.8"/>
    <n v="7"/>
    <s v="Single"/>
    <n v="2"/>
    <n v="5"/>
    <s v="Vkontakte"/>
    <n v="2"/>
    <s v="7.8"/>
    <s v="OK"/>
    <s v="medium"/>
    <s v="Medium"/>
    <s v="5"/>
    <n v="5.2"/>
    <b v="1"/>
  </r>
  <r>
    <n v="277"/>
    <n v="19"/>
    <s v="Female"/>
    <s v="Undergraduate"/>
    <s v="USA"/>
    <n v="6.6"/>
    <x v="2"/>
    <s v="Yes"/>
    <n v="5.5"/>
    <n v="4"/>
    <s v="In Relationship"/>
    <n v="4"/>
    <n v="9"/>
    <s v="Tiktok"/>
    <n v="2"/>
    <s v="5.5"/>
    <s v="OK"/>
    <b v="1"/>
    <s v="High"/>
    <s v="9"/>
    <n v="5.2"/>
    <b v="1"/>
  </r>
  <r>
    <n v="278"/>
    <n v="21"/>
    <s v="Male"/>
    <s v="Graduate"/>
    <s v="UK"/>
    <n v="5.0999999999999996"/>
    <x v="0"/>
    <s v="Yes"/>
    <n v="6.5"/>
    <n v="6"/>
    <s v="Single"/>
    <n v="3"/>
    <n v="7"/>
    <s v="Instagram"/>
    <n v="1"/>
    <s v="6.5"/>
    <s v="OK"/>
    <b v="1"/>
    <s v="High"/>
    <s v="7"/>
    <n v="5.2"/>
    <b v="1"/>
  </r>
  <r>
    <n v="279"/>
    <n v="20"/>
    <s v="Female"/>
    <s v="Undergraduate"/>
    <s v="Australia"/>
    <n v="4.4000000000000004"/>
    <x v="4"/>
    <s v="No"/>
    <n v="7.4"/>
    <n v="7"/>
    <s v="In Relationship"/>
    <n v="2"/>
    <n v="5"/>
    <s v="Facebook"/>
    <n v="0"/>
    <s v="7.4"/>
    <s v="OK"/>
    <s v="medium"/>
    <s v="Medium"/>
    <s v="5"/>
    <n v="5.2"/>
    <b v="1"/>
  </r>
  <r>
    <n v="280"/>
    <n v="22"/>
    <s v="Male"/>
    <s v="Graduate"/>
    <s v="Germany"/>
    <n v="3.6"/>
    <x v="0"/>
    <s v="No"/>
    <n v="7.9"/>
    <n v="8"/>
    <s v="Single"/>
    <n v="1"/>
    <n v="4"/>
    <s v="Instagram"/>
    <n v="1"/>
    <s v="7.9"/>
    <s v="OK"/>
    <s v="medium"/>
    <s v="Low"/>
    <s v="4"/>
    <n v="5.2"/>
    <b v="1"/>
  </r>
  <r>
    <n v="281"/>
    <n v="19"/>
    <s v="Female"/>
    <s v="Undergraduate"/>
    <s v="Japan"/>
    <n v="3.1"/>
    <x v="7"/>
    <s v="No"/>
    <n v="8.5"/>
    <n v="8"/>
    <s v="Single"/>
    <n v="1"/>
    <n v="3"/>
    <s v="Line"/>
    <n v="0"/>
    <s v="8.5"/>
    <s v="OK"/>
    <s v="medium"/>
    <s v="Low"/>
    <s v="3"/>
    <n v="5.2"/>
    <b v="1"/>
  </r>
  <r>
    <n v="282"/>
    <n v="21"/>
    <s v="Male"/>
    <s v="Graduate"/>
    <s v="Italy"/>
    <n v="5.3"/>
    <x v="2"/>
    <s v="Yes"/>
    <n v="6.8"/>
    <n v="5"/>
    <s v="In Relationship"/>
    <n v="3"/>
    <n v="8"/>
    <s v="Tiktok"/>
    <n v="2"/>
    <s v="6.8"/>
    <s v="OK"/>
    <b v="1"/>
    <s v="High"/>
    <s v="8"/>
    <n v="5.0999999999999996"/>
    <b v="1"/>
  </r>
  <r>
    <n v="283"/>
    <n v="20"/>
    <s v="Female"/>
    <s v="Undergraduate"/>
    <s v="South Korea"/>
    <n v="4.5999999999999996"/>
    <x v="8"/>
    <s v="Yes"/>
    <n v="7.2"/>
    <n v="6"/>
    <s v="Single"/>
    <n v="3"/>
    <n v="6"/>
    <s v="Kakaotalk"/>
    <n v="1"/>
    <s v="7.2"/>
    <s v="OK"/>
    <s v="medium"/>
    <s v="Medium"/>
    <s v="6"/>
    <n v="5.0999999999999996"/>
    <b v="1"/>
  </r>
  <r>
    <n v="284"/>
    <n v="22"/>
    <s v="Male"/>
    <s v="Graduate"/>
    <s v="Russia"/>
    <n v="4.0999999999999996"/>
    <x v="9"/>
    <s v="No"/>
    <n v="7.9"/>
    <n v="7"/>
    <s v="In Relationship"/>
    <n v="2"/>
    <n v="5"/>
    <s v="Vkontakte"/>
    <n v="2"/>
    <s v="7.9"/>
    <s v="OK"/>
    <s v="medium"/>
    <s v="Medium"/>
    <s v="5"/>
    <n v="5.0999999999999996"/>
    <b v="1"/>
  </r>
  <r>
    <n v="285"/>
    <n v="19"/>
    <s v="Female"/>
    <s v="Undergraduate"/>
    <s v="USA"/>
    <n v="6.7"/>
    <x v="0"/>
    <s v="Yes"/>
    <n v="5.4"/>
    <n v="4"/>
    <s v="Single"/>
    <n v="4"/>
    <n v="9"/>
    <s v="Instagram"/>
    <n v="1"/>
    <s v="5.4"/>
    <s v="OK"/>
    <b v="1"/>
    <s v="High"/>
    <s v="9"/>
    <n v="5.0999999999999996"/>
    <b v="1"/>
  </r>
  <r>
    <n v="286"/>
    <n v="21"/>
    <s v="Male"/>
    <s v="Graduate"/>
    <s v="UK"/>
    <n v="5"/>
    <x v="4"/>
    <s v="Yes"/>
    <n v="6.6"/>
    <n v="6"/>
    <s v="In Relationship"/>
    <n v="3"/>
    <n v="7"/>
    <s v="Facebook"/>
    <n v="0"/>
    <s v="6.6"/>
    <s v="OK"/>
    <b v="1"/>
    <s v="High"/>
    <s v="7"/>
    <n v="5.0999999999999996"/>
    <b v="1"/>
  </r>
  <r>
    <n v="287"/>
    <n v="20"/>
    <s v="Female"/>
    <s v="Undergraduate"/>
    <s v="Australia"/>
    <n v="4.3"/>
    <x v="0"/>
    <s v="No"/>
    <n v="7.5"/>
    <n v="7"/>
    <s v="Single"/>
    <n v="2"/>
    <n v="5"/>
    <s v="Instagram"/>
    <n v="1"/>
    <s v="7.5"/>
    <s v="OK"/>
    <s v="medium"/>
    <s v="Medium"/>
    <s v="5"/>
    <n v="5.0999999999999996"/>
    <b v="1"/>
  </r>
  <r>
    <n v="288"/>
    <n v="22"/>
    <s v="Male"/>
    <s v="Graduate"/>
    <s v="Germany"/>
    <n v="3.5"/>
    <x v="4"/>
    <s v="No"/>
    <n v="8"/>
    <n v="8"/>
    <s v="In Relationship"/>
    <n v="1"/>
    <n v="4"/>
    <s v="Facebook"/>
    <n v="0"/>
    <s v="8"/>
    <s v="OK"/>
    <s v="medium"/>
    <s v="Low"/>
    <s v="4"/>
    <n v="5.0999999999999996"/>
    <b v="1"/>
  </r>
  <r>
    <n v="289"/>
    <n v="19"/>
    <s v="Female"/>
    <s v="Undergraduate"/>
    <s v="Japan"/>
    <n v="3"/>
    <x v="7"/>
    <s v="No"/>
    <n v="8.6"/>
    <n v="8"/>
    <s v="Single"/>
    <n v="1"/>
    <n v="3"/>
    <s v="Line"/>
    <n v="0"/>
    <s v="8.6"/>
    <s v="OK"/>
    <s v="medium"/>
    <s v="Low"/>
    <s v="3"/>
    <n v="5.0999999999999996"/>
    <b v="1"/>
  </r>
  <r>
    <n v="290"/>
    <n v="21"/>
    <s v="Male"/>
    <s v="Graduate"/>
    <s v="Italy"/>
    <n v="5.2"/>
    <x v="0"/>
    <s v="Yes"/>
    <n v="6.9"/>
    <n v="5"/>
    <s v="Single"/>
    <n v="3"/>
    <n v="7"/>
    <s v="Instagram"/>
    <n v="1"/>
    <s v="6.9"/>
    <s v="OK"/>
    <b v="1"/>
    <s v="High"/>
    <s v="7"/>
    <n v="5.0999999999999996"/>
    <b v="1"/>
  </r>
  <r>
    <n v="291"/>
    <n v="20"/>
    <s v="Female"/>
    <s v="Undergraduate"/>
    <s v="South Korea"/>
    <n v="4.5"/>
    <x v="8"/>
    <s v="Yes"/>
    <n v="7.3"/>
    <n v="6"/>
    <s v="In Relationship"/>
    <n v="3"/>
    <n v="6"/>
    <s v="Kakaotalk"/>
    <n v="1"/>
    <s v="7.3"/>
    <s v="OK"/>
    <s v="medium"/>
    <s v="Medium"/>
    <s v="6"/>
    <n v="5.0999999999999996"/>
    <b v="1"/>
  </r>
  <r>
    <n v="292"/>
    <n v="22"/>
    <s v="Male"/>
    <s v="Graduate"/>
    <s v="Russia"/>
    <n v="4"/>
    <x v="9"/>
    <s v="No"/>
    <n v="8"/>
    <n v="7"/>
    <s v="Single"/>
    <n v="2"/>
    <n v="5"/>
    <s v="Vkontakte"/>
    <n v="2"/>
    <s v="8"/>
    <s v="OK"/>
    <s v="medium"/>
    <s v="Medium"/>
    <s v="5"/>
    <n v="5.0999999999999996"/>
    <b v="1"/>
  </r>
  <r>
    <n v="293"/>
    <n v="19"/>
    <s v="Female"/>
    <s v="Undergraduate"/>
    <s v="USA"/>
    <n v="6.8"/>
    <x v="2"/>
    <s v="Yes"/>
    <n v="5.3"/>
    <n v="4"/>
    <s v="In Relationship"/>
    <n v="4"/>
    <n v="9"/>
    <s v="Tiktok"/>
    <n v="2"/>
    <s v="5.3"/>
    <s v="OK"/>
    <b v="1"/>
    <s v="High"/>
    <s v="9"/>
    <n v="5.0999999999999996"/>
    <b v="1"/>
  </r>
  <r>
    <n v="294"/>
    <n v="21"/>
    <s v="Male"/>
    <s v="Graduate"/>
    <s v="UK"/>
    <n v="4.9000000000000004"/>
    <x v="0"/>
    <s v="Yes"/>
    <n v="6.7"/>
    <n v="6"/>
    <s v="Single"/>
    <n v="3"/>
    <n v="7"/>
    <s v="Instagram"/>
    <n v="1"/>
    <s v="6.7"/>
    <s v="OK"/>
    <b v="1"/>
    <s v="High"/>
    <s v="7"/>
    <n v="5.0999999999999996"/>
    <b v="1"/>
  </r>
  <r>
    <n v="295"/>
    <n v="20"/>
    <s v="Female"/>
    <s v="Undergraduate"/>
    <s v="Australia"/>
    <n v="4.2"/>
    <x v="4"/>
    <s v="No"/>
    <n v="7.6"/>
    <n v="7"/>
    <s v="In Relationship"/>
    <n v="2"/>
    <n v="5"/>
    <s v="Facebook"/>
    <n v="0"/>
    <s v="7.6"/>
    <s v="OK"/>
    <s v="medium"/>
    <s v="Medium"/>
    <s v="5"/>
    <n v="5"/>
    <b v="1"/>
  </r>
  <r>
    <n v="296"/>
    <n v="22"/>
    <s v="Male"/>
    <s v="Graduate"/>
    <s v="Germany"/>
    <n v="3.4"/>
    <x v="0"/>
    <s v="No"/>
    <n v="8.1"/>
    <n v="8"/>
    <s v="Single"/>
    <n v="1"/>
    <n v="4"/>
    <s v="Instagram"/>
    <n v="1"/>
    <s v="8.1"/>
    <s v="OK"/>
    <s v="medium"/>
    <s v="Low"/>
    <s v="4"/>
    <n v="5"/>
    <b v="1"/>
  </r>
  <r>
    <n v="297"/>
    <n v="19"/>
    <s v="Female"/>
    <s v="Undergraduate"/>
    <s v="Japan"/>
    <n v="2.9"/>
    <x v="7"/>
    <s v="No"/>
    <n v="8.6999999999999993"/>
    <n v="8"/>
    <s v="Single"/>
    <n v="1"/>
    <n v="3"/>
    <s v="Line"/>
    <n v="0"/>
    <s v="8.7"/>
    <s v="OK"/>
    <s v="medium"/>
    <s v="Low"/>
    <s v="3"/>
    <n v="5"/>
    <b v="1"/>
  </r>
  <r>
    <n v="298"/>
    <n v="21"/>
    <s v="Male"/>
    <s v="Graduate"/>
    <s v="Italy"/>
    <n v="5.0999999999999996"/>
    <x v="2"/>
    <s v="Yes"/>
    <n v="7"/>
    <n v="5"/>
    <s v="In Relationship"/>
    <n v="3"/>
    <n v="8"/>
    <s v="Tiktok"/>
    <n v="2"/>
    <s v="7"/>
    <s v="OK"/>
    <b v="1"/>
    <s v="High"/>
    <s v="8"/>
    <n v="5"/>
    <b v="1"/>
  </r>
  <r>
    <n v="299"/>
    <n v="20"/>
    <s v="Female"/>
    <s v="Undergraduate"/>
    <s v="South Korea"/>
    <n v="4.4000000000000004"/>
    <x v="8"/>
    <s v="Yes"/>
    <n v="7.4"/>
    <n v="6"/>
    <s v="Single"/>
    <n v="3"/>
    <n v="6"/>
    <s v="Kakaotalk"/>
    <n v="1"/>
    <s v="7.4"/>
    <s v="OK"/>
    <s v="medium"/>
    <s v="Medium"/>
    <s v="6"/>
    <n v="5"/>
    <b v="1"/>
  </r>
  <r>
    <n v="300"/>
    <n v="22"/>
    <s v="Male"/>
    <s v="Graduate"/>
    <s v="Russia"/>
    <n v="3.9"/>
    <x v="9"/>
    <s v="No"/>
    <n v="8.1"/>
    <n v="7"/>
    <s v="In Relationship"/>
    <n v="2"/>
    <n v="5"/>
    <s v="Vkontakte"/>
    <n v="2"/>
    <s v="8.1"/>
    <s v="OK"/>
    <s v="medium"/>
    <s v="Medium"/>
    <s v="5"/>
    <n v="5"/>
    <b v="1"/>
  </r>
  <r>
    <n v="301"/>
    <n v="19"/>
    <s v="Female"/>
    <s v="Undergraduate"/>
    <s v="USA"/>
    <n v="6.9"/>
    <x v="0"/>
    <s v="Yes"/>
    <n v="5.2"/>
    <n v="4"/>
    <s v="Single"/>
    <n v="4"/>
    <n v="9"/>
    <s v="Instagram"/>
    <n v="1"/>
    <s v="5.2"/>
    <s v="OK"/>
    <b v="1"/>
    <s v="High"/>
    <s v="9"/>
    <n v="5"/>
    <b v="1"/>
  </r>
  <r>
    <n v="302"/>
    <n v="21"/>
    <s v="Male"/>
    <s v="Graduate"/>
    <s v="UK"/>
    <n v="4.8"/>
    <x v="4"/>
    <s v="Yes"/>
    <n v="6.8"/>
    <n v="6"/>
    <s v="In Relationship"/>
    <n v="3"/>
    <n v="7"/>
    <s v="Facebook"/>
    <n v="0"/>
    <s v="6.8"/>
    <s v="OK"/>
    <b v="1"/>
    <s v="High"/>
    <s v="7"/>
    <n v="5"/>
    <b v="1"/>
  </r>
  <r>
    <n v="303"/>
    <n v="20"/>
    <s v="Female"/>
    <s v="Undergraduate"/>
    <s v="Australia"/>
    <n v="4.0999999999999996"/>
    <x v="0"/>
    <s v="No"/>
    <n v="7.7"/>
    <n v="7"/>
    <s v="Single"/>
    <n v="2"/>
    <n v="5"/>
    <s v="Instagram"/>
    <n v="1"/>
    <s v="7.7"/>
    <s v="OK"/>
    <s v="medium"/>
    <s v="Medium"/>
    <s v="5"/>
    <n v="5"/>
    <b v="1"/>
  </r>
  <r>
    <n v="304"/>
    <n v="22"/>
    <s v="Male"/>
    <s v="Graduate"/>
    <s v="Germany"/>
    <n v="3.3"/>
    <x v="4"/>
    <s v="No"/>
    <n v="8.1999999999999993"/>
    <n v="8"/>
    <s v="In Relationship"/>
    <n v="1"/>
    <n v="4"/>
    <s v="Facebook"/>
    <n v="0"/>
    <s v="8.2"/>
    <s v="OK"/>
    <s v="medium"/>
    <s v="Low"/>
    <s v="4"/>
    <n v="5"/>
    <b v="1"/>
  </r>
  <r>
    <n v="305"/>
    <n v="19"/>
    <s v="Female"/>
    <s v="Undergraduate"/>
    <s v="Japan"/>
    <n v="2.8"/>
    <x v="7"/>
    <s v="No"/>
    <n v="8.8000000000000007"/>
    <n v="8"/>
    <s v="Single"/>
    <n v="1"/>
    <n v="3"/>
    <s v="Line"/>
    <n v="0"/>
    <s v="8.8"/>
    <s v="OK"/>
    <s v="medium"/>
    <s v="Low"/>
    <s v="3"/>
    <n v="5"/>
    <b v="1"/>
  </r>
  <r>
    <n v="306"/>
    <n v="21"/>
    <s v="Male"/>
    <s v="Graduate"/>
    <s v="Italy"/>
    <n v="5"/>
    <x v="0"/>
    <s v="Yes"/>
    <n v="7.1"/>
    <n v="5"/>
    <s v="Single"/>
    <n v="3"/>
    <n v="7"/>
    <s v="Instagram"/>
    <n v="1"/>
    <s v="7.1"/>
    <s v="OK"/>
    <b v="1"/>
    <s v="High"/>
    <s v="7"/>
    <n v="5"/>
    <b v="1"/>
  </r>
  <r>
    <n v="307"/>
    <n v="20"/>
    <s v="Female"/>
    <s v="Undergraduate"/>
    <s v="South Korea"/>
    <n v="4.3"/>
    <x v="8"/>
    <s v="Yes"/>
    <n v="7.5"/>
    <n v="6"/>
    <s v="In Relationship"/>
    <n v="3"/>
    <n v="6"/>
    <s v="Kakaotalk"/>
    <n v="1"/>
    <s v="7.5"/>
    <s v="OK"/>
    <s v="medium"/>
    <s v="Medium"/>
    <s v="6"/>
    <n v="5"/>
    <b v="1"/>
  </r>
  <r>
    <n v="308"/>
    <n v="22"/>
    <s v="Male"/>
    <s v="Graduate"/>
    <s v="Russia"/>
    <n v="3.8"/>
    <x v="9"/>
    <s v="No"/>
    <n v="8.1999999999999993"/>
    <n v="7"/>
    <s v="Single"/>
    <n v="2"/>
    <n v="5"/>
    <s v="Vkontakte"/>
    <n v="2"/>
    <s v="8.2"/>
    <s v="OK"/>
    <s v="medium"/>
    <s v="Medium"/>
    <s v="5"/>
    <n v="5"/>
    <b v="1"/>
  </r>
  <r>
    <n v="309"/>
    <n v="19"/>
    <s v="Female"/>
    <s v="Undergraduate"/>
    <s v="USA"/>
    <n v="7"/>
    <x v="2"/>
    <s v="Yes"/>
    <n v="5.0999999999999996"/>
    <n v="4"/>
    <s v="In Relationship"/>
    <n v="4"/>
    <n v="9"/>
    <s v="Tiktok"/>
    <n v="2"/>
    <s v="5.1"/>
    <s v="OK"/>
    <b v="1"/>
    <s v="High"/>
    <s v="9"/>
    <n v="4.9000000000000004"/>
    <b v="1"/>
  </r>
  <r>
    <n v="310"/>
    <n v="21"/>
    <s v="Male"/>
    <s v="Graduate"/>
    <s v="UK"/>
    <n v="4.7"/>
    <x v="0"/>
    <s v="Yes"/>
    <n v="6.9"/>
    <n v="6"/>
    <s v="Single"/>
    <n v="3"/>
    <n v="7"/>
    <s v="Instagram"/>
    <n v="1"/>
    <s v="6.9"/>
    <s v="OK"/>
    <b v="1"/>
    <s v="High"/>
    <s v="7"/>
    <n v="4.9000000000000004"/>
    <b v="1"/>
  </r>
  <r>
    <n v="311"/>
    <n v="20"/>
    <s v="Female"/>
    <s v="Undergraduate"/>
    <s v="Australia"/>
    <n v="4"/>
    <x v="4"/>
    <s v="No"/>
    <n v="7.8"/>
    <n v="7"/>
    <s v="In Relationship"/>
    <n v="2"/>
    <n v="5"/>
    <s v="Facebook"/>
    <n v="0"/>
    <s v="7.8"/>
    <s v="OK"/>
    <s v="medium"/>
    <s v="Medium"/>
    <s v="5"/>
    <n v="4.9000000000000004"/>
    <b v="1"/>
  </r>
  <r>
    <n v="312"/>
    <n v="22"/>
    <s v="Male"/>
    <s v="Graduate"/>
    <s v="Germany"/>
    <n v="3.2"/>
    <x v="0"/>
    <s v="No"/>
    <n v="8.3000000000000007"/>
    <n v="8"/>
    <s v="Single"/>
    <n v="1"/>
    <n v="4"/>
    <s v="Instagram"/>
    <n v="1"/>
    <s v="8.3"/>
    <s v="OK"/>
    <s v="medium"/>
    <s v="Low"/>
    <s v="4"/>
    <n v="4.9000000000000004"/>
    <b v="1"/>
  </r>
  <r>
    <n v="313"/>
    <n v="19"/>
    <s v="Female"/>
    <s v="Undergraduate"/>
    <s v="Japan"/>
    <n v="2.7"/>
    <x v="7"/>
    <s v="No"/>
    <n v="8.9"/>
    <n v="8"/>
    <s v="Single"/>
    <n v="1"/>
    <n v="3"/>
    <s v="Line"/>
    <n v="0"/>
    <s v="8.9"/>
    <s v="OK"/>
    <s v="medium"/>
    <s v="Low"/>
    <s v="3"/>
    <n v="4.9000000000000004"/>
    <b v="1"/>
  </r>
  <r>
    <n v="314"/>
    <n v="21"/>
    <s v="Male"/>
    <s v="Graduate"/>
    <s v="Italy"/>
    <n v="4.9000000000000004"/>
    <x v="2"/>
    <s v="Yes"/>
    <n v="7.2"/>
    <n v="5"/>
    <s v="In Relationship"/>
    <n v="3"/>
    <n v="8"/>
    <s v="Tiktok"/>
    <n v="2"/>
    <s v="7.2"/>
    <s v="OK"/>
    <b v="1"/>
    <s v="High"/>
    <s v="8"/>
    <n v="4.9000000000000004"/>
    <b v="1"/>
  </r>
  <r>
    <n v="315"/>
    <n v="20"/>
    <s v="Female"/>
    <s v="Undergraduate"/>
    <s v="South Korea"/>
    <n v="4.2"/>
    <x v="8"/>
    <s v="Yes"/>
    <n v="7.6"/>
    <n v="6"/>
    <s v="Single"/>
    <n v="3"/>
    <n v="6"/>
    <s v="Kakaotalk"/>
    <n v="1"/>
    <s v="7.6"/>
    <s v="OK"/>
    <s v="medium"/>
    <s v="Medium"/>
    <s v="6"/>
    <n v="4.9000000000000004"/>
    <b v="1"/>
  </r>
  <r>
    <n v="316"/>
    <n v="22"/>
    <s v="Male"/>
    <s v="Graduate"/>
    <s v="Russia"/>
    <n v="3.7"/>
    <x v="9"/>
    <s v="No"/>
    <n v="8.3000000000000007"/>
    <n v="7"/>
    <s v="In Relationship"/>
    <n v="2"/>
    <n v="5"/>
    <s v="Vkontakte"/>
    <n v="2"/>
    <s v="8.3"/>
    <s v="OK"/>
    <s v="medium"/>
    <s v="Medium"/>
    <s v="5"/>
    <n v="4.9000000000000004"/>
    <b v="1"/>
  </r>
  <r>
    <n v="317"/>
    <n v="19"/>
    <s v="Female"/>
    <s v="Undergraduate"/>
    <s v="USA"/>
    <n v="7.1"/>
    <x v="0"/>
    <s v="Yes"/>
    <n v="5"/>
    <n v="4"/>
    <s v="Single"/>
    <n v="4"/>
    <n v="9"/>
    <s v="Instagram"/>
    <n v="1"/>
    <s v="5"/>
    <s v="OK"/>
    <b v="1"/>
    <s v="High"/>
    <s v="9"/>
    <n v="4.9000000000000004"/>
    <b v="1"/>
  </r>
  <r>
    <n v="318"/>
    <n v="21"/>
    <s v="Male"/>
    <s v="Graduate"/>
    <s v="UK"/>
    <n v="4.5999999999999996"/>
    <x v="4"/>
    <s v="Yes"/>
    <n v="7"/>
    <n v="6"/>
    <s v="In Relationship"/>
    <n v="3"/>
    <n v="7"/>
    <s v="Facebook"/>
    <n v="0"/>
    <s v="7"/>
    <s v="OK"/>
    <b v="1"/>
    <s v="High"/>
    <s v="7"/>
    <n v="4.9000000000000004"/>
    <b v="1"/>
  </r>
  <r>
    <n v="319"/>
    <n v="20"/>
    <s v="Female"/>
    <s v="Undergraduate"/>
    <s v="Australia"/>
    <n v="3.9"/>
    <x v="0"/>
    <s v="No"/>
    <n v="7.9"/>
    <n v="7"/>
    <s v="Single"/>
    <n v="2"/>
    <n v="5"/>
    <s v="Instagram"/>
    <n v="1"/>
    <s v="7.9"/>
    <s v="OK"/>
    <s v="medium"/>
    <s v="Medium"/>
    <s v="5"/>
    <n v="4.9000000000000004"/>
    <b v="1"/>
  </r>
  <r>
    <n v="320"/>
    <n v="22"/>
    <s v="Male"/>
    <s v="Graduate"/>
    <s v="Germany"/>
    <n v="3.1"/>
    <x v="4"/>
    <s v="No"/>
    <n v="8.4"/>
    <n v="8"/>
    <s v="In Relationship"/>
    <n v="1"/>
    <n v="4"/>
    <s v="Facebook"/>
    <n v="0"/>
    <s v="8.4"/>
    <s v="OK"/>
    <s v="medium"/>
    <s v="Low"/>
    <s v="4"/>
    <n v="4.9000000000000004"/>
    <b v="1"/>
  </r>
  <r>
    <n v="321"/>
    <n v="19"/>
    <s v="Female"/>
    <s v="Undergraduate"/>
    <s v="Spain"/>
    <n v="5.2"/>
    <x v="0"/>
    <s v="Yes"/>
    <n v="6.8"/>
    <n v="6"/>
    <s v="Single"/>
    <n v="3"/>
    <n v="7"/>
    <s v="Instagram"/>
    <n v="1"/>
    <s v="6.8"/>
    <s v="OK"/>
    <b v="1"/>
    <s v="High"/>
    <s v="7"/>
    <n v="4.9000000000000004"/>
    <b v="1"/>
  </r>
  <r>
    <n v="322"/>
    <n v="21"/>
    <s v="Male"/>
    <s v="Graduate"/>
    <s v="Denmark"/>
    <n v="4.0999999999999996"/>
    <x v="4"/>
    <s v="No"/>
    <n v="7.8"/>
    <n v="8"/>
    <s v="In Relationship"/>
    <n v="2"/>
    <n v="4"/>
    <s v="Facebook"/>
    <n v="0"/>
    <s v="7.8"/>
    <s v="OK"/>
    <s v="medium"/>
    <s v="Low"/>
    <s v="4"/>
    <n v="4.9000000000000004"/>
    <b v="1"/>
  </r>
  <r>
    <n v="323"/>
    <n v="20"/>
    <s v="Female"/>
    <s v="Undergraduate"/>
    <s v="Ireland"/>
    <n v="5"/>
    <x v="0"/>
    <s v="Yes"/>
    <n v="7"/>
    <n v="7"/>
    <s v="Single"/>
    <n v="3"/>
    <n v="6"/>
    <s v="Instagram"/>
    <n v="1"/>
    <s v="7"/>
    <s v="OK"/>
    <s v="medium"/>
    <s v="Medium"/>
    <s v="6"/>
    <n v="4.9000000000000004"/>
    <b v="1"/>
  </r>
  <r>
    <n v="324"/>
    <n v="22"/>
    <s v="Male"/>
    <s v="Graduate"/>
    <s v="India"/>
    <n v="5.8"/>
    <x v="10"/>
    <s v="Yes"/>
    <n v="6.5"/>
    <n v="5"/>
    <s v="In Relationship"/>
    <n v="4"/>
    <n v="8"/>
    <s v="Whatsapp"/>
    <n v="1"/>
    <s v="6.5"/>
    <s v="OK"/>
    <b v="1"/>
    <s v="High"/>
    <s v="8"/>
    <n v="4.9000000000000004"/>
    <b v="1"/>
  </r>
  <r>
    <n v="325"/>
    <n v="19"/>
    <s v="Female"/>
    <s v="Undergraduate"/>
    <s v="Switzerland"/>
    <n v="4"/>
    <x v="0"/>
    <s v="No"/>
    <n v="7.9"/>
    <n v="8"/>
    <s v="Single"/>
    <n v="2"/>
    <n v="4"/>
    <s v="Instagram"/>
    <n v="1"/>
    <s v="7.9"/>
    <s v="OK"/>
    <s v="medium"/>
    <s v="Low"/>
    <s v="4"/>
    <n v="4.9000000000000004"/>
    <b v="1"/>
  </r>
  <r>
    <n v="326"/>
    <n v="21"/>
    <s v="Male"/>
    <s v="Graduate"/>
    <s v="Turkey"/>
    <n v="5.5"/>
    <x v="0"/>
    <s v="Yes"/>
    <n v="6.7"/>
    <n v="6"/>
    <s v="Single"/>
    <n v="3"/>
    <n v="7"/>
    <s v="Instagram"/>
    <n v="1"/>
    <s v="6.7"/>
    <s v="OK"/>
    <b v="1"/>
    <s v="High"/>
    <s v="7"/>
    <n v="4.9000000000000004"/>
    <b v="1"/>
  </r>
  <r>
    <n v="327"/>
    <n v="20"/>
    <s v="Female"/>
    <s v="Undergraduate"/>
    <s v="USA"/>
    <n v="6.8"/>
    <x v="2"/>
    <s v="Yes"/>
    <n v="5.5"/>
    <n v="5"/>
    <s v="In Relationship"/>
    <n v="4"/>
    <n v="9"/>
    <s v="Tiktok"/>
    <n v="2"/>
    <s v="5.5"/>
    <s v="OK"/>
    <b v="1"/>
    <s v="High"/>
    <s v="9"/>
    <n v="4.9000000000000004"/>
    <b v="1"/>
  </r>
  <r>
    <n v="328"/>
    <n v="22"/>
    <s v="Male"/>
    <s v="Graduate"/>
    <s v="Mexico"/>
    <n v="5.6"/>
    <x v="10"/>
    <s v="Yes"/>
    <n v="6.6"/>
    <n v="6"/>
    <s v="Single"/>
    <n v="3"/>
    <n v="7"/>
    <s v="Whatsapp"/>
    <n v="1"/>
    <s v="6.6"/>
    <s v="OK"/>
    <b v="1"/>
    <s v="High"/>
    <s v="7"/>
    <n v="4.9000000000000004"/>
    <b v="1"/>
  </r>
  <r>
    <n v="329"/>
    <n v="19"/>
    <s v="Female"/>
    <s v="Undergraduate"/>
    <s v="France"/>
    <n v="4.5"/>
    <x v="0"/>
    <s v="No"/>
    <n v="7.5"/>
    <n v="7"/>
    <s v="In Relationship"/>
    <n v="2"/>
    <n v="5"/>
    <s v="Instagram"/>
    <n v="1"/>
    <s v="7.5"/>
    <s v="OK"/>
    <s v="medium"/>
    <s v="Medium"/>
    <s v="5"/>
    <n v="4.8"/>
    <b v="1"/>
  </r>
  <r>
    <n v="330"/>
    <n v="21"/>
    <s v="Male"/>
    <s v="Graduate"/>
    <s v="Canada"/>
    <n v="5.3"/>
    <x v="0"/>
    <s v="Yes"/>
    <n v="6.9"/>
    <n v="6"/>
    <s v="Single"/>
    <n v="3"/>
    <n v="7"/>
    <s v="Instagram"/>
    <n v="1"/>
    <s v="6.9"/>
    <s v="OK"/>
    <b v="1"/>
    <s v="High"/>
    <s v="7"/>
    <n v="4.8"/>
    <b v="1"/>
  </r>
  <r>
    <n v="331"/>
    <n v="20"/>
    <s v="Female"/>
    <s v="Undergraduate"/>
    <s v="Spain"/>
    <n v="5.0999999999999996"/>
    <x v="2"/>
    <s v="Yes"/>
    <n v="6.7"/>
    <n v="6"/>
    <s v="Single"/>
    <n v="3"/>
    <n v="7"/>
    <s v="Tiktok"/>
    <n v="2"/>
    <s v="6.7"/>
    <s v="OK"/>
    <b v="1"/>
    <s v="High"/>
    <s v="7"/>
    <n v="4.8"/>
    <b v="1"/>
  </r>
  <r>
    <n v="332"/>
    <n v="22"/>
    <s v="Male"/>
    <s v="Graduate"/>
    <s v="Denmark"/>
    <n v="3.9"/>
    <x v="4"/>
    <s v="No"/>
    <n v="7.9"/>
    <n v="8"/>
    <s v="In Relationship"/>
    <n v="2"/>
    <n v="4"/>
    <s v="Facebook"/>
    <n v="0"/>
    <s v="7.9"/>
    <s v="OK"/>
    <s v="medium"/>
    <s v="Low"/>
    <s v="4"/>
    <n v="4.8"/>
    <b v="1"/>
  </r>
  <r>
    <n v="333"/>
    <n v="19"/>
    <s v="Female"/>
    <s v="Undergraduate"/>
    <s v="Ireland"/>
    <n v="4.8"/>
    <x v="0"/>
    <s v="Yes"/>
    <n v="7.1"/>
    <n v="7"/>
    <s v="Single"/>
    <n v="3"/>
    <n v="6"/>
    <s v="Instagram"/>
    <n v="1"/>
    <s v="7.1"/>
    <s v="OK"/>
    <s v="medium"/>
    <s v="Medium"/>
    <s v="6"/>
    <n v="4.8"/>
    <b v="1"/>
  </r>
  <r>
    <n v="334"/>
    <n v="21"/>
    <s v="Male"/>
    <s v="Graduate"/>
    <s v="India"/>
    <n v="5.9"/>
    <x v="10"/>
    <s v="Yes"/>
    <n v="6.4"/>
    <n v="5"/>
    <s v="In Relationship"/>
    <n v="4"/>
    <n v="8"/>
    <s v="Whatsapp"/>
    <n v="1"/>
    <s v="6.4"/>
    <s v="OK"/>
    <b v="1"/>
    <s v="High"/>
    <s v="8"/>
    <n v="4.8"/>
    <b v="1"/>
  </r>
  <r>
    <n v="335"/>
    <n v="20"/>
    <s v="Female"/>
    <s v="Undergraduate"/>
    <s v="Switzerland"/>
    <n v="3.8"/>
    <x v="0"/>
    <s v="No"/>
    <n v="8"/>
    <n v="8"/>
    <s v="Single"/>
    <n v="2"/>
    <n v="4"/>
    <s v="Instagram"/>
    <n v="1"/>
    <s v="8"/>
    <s v="OK"/>
    <s v="medium"/>
    <s v="Low"/>
    <s v="4"/>
    <n v="4.8"/>
    <b v="1"/>
  </r>
  <r>
    <n v="336"/>
    <n v="22"/>
    <s v="Male"/>
    <s v="Graduate"/>
    <s v="Turkey"/>
    <n v="5.4"/>
    <x v="2"/>
    <s v="Yes"/>
    <n v="6.8"/>
    <n v="6"/>
    <s v="Single"/>
    <n v="3"/>
    <n v="7"/>
    <s v="Tiktok"/>
    <n v="2"/>
    <s v="6.8"/>
    <s v="OK"/>
    <b v="1"/>
    <s v="High"/>
    <s v="7"/>
    <n v="4.8"/>
    <b v="1"/>
  </r>
  <r>
    <n v="337"/>
    <n v="19"/>
    <s v="Female"/>
    <s v="Undergraduate"/>
    <s v="USA"/>
    <n v="6.9"/>
    <x v="0"/>
    <s v="Yes"/>
    <n v="5.4"/>
    <n v="5"/>
    <s v="In Relationship"/>
    <n v="4"/>
    <n v="9"/>
    <s v="Instagram"/>
    <n v="1"/>
    <s v="5.4"/>
    <s v="OK"/>
    <b v="1"/>
    <s v="High"/>
    <s v="9"/>
    <n v="4.8"/>
    <b v="1"/>
  </r>
  <r>
    <n v="338"/>
    <n v="21"/>
    <s v="Male"/>
    <s v="Graduate"/>
    <s v="Mexico"/>
    <n v="5.7"/>
    <x v="10"/>
    <s v="Yes"/>
    <n v="6.5"/>
    <n v="6"/>
    <s v="Single"/>
    <n v="3"/>
    <n v="7"/>
    <s v="Whatsapp"/>
    <n v="1"/>
    <s v="6.5"/>
    <s v="OK"/>
    <b v="1"/>
    <s v="High"/>
    <s v="7"/>
    <n v="4.8"/>
    <b v="1"/>
  </r>
  <r>
    <n v="339"/>
    <n v="20"/>
    <s v="Female"/>
    <s v="Undergraduate"/>
    <s v="France"/>
    <n v="4.4000000000000004"/>
    <x v="0"/>
    <s v="No"/>
    <n v="7.6"/>
    <n v="7"/>
    <s v="In Relationship"/>
    <n v="2"/>
    <n v="5"/>
    <s v="Instagram"/>
    <n v="1"/>
    <s v="7.6"/>
    <s v="OK"/>
    <s v="medium"/>
    <s v="Medium"/>
    <s v="5"/>
    <n v="4.8"/>
    <b v="1"/>
  </r>
  <r>
    <n v="340"/>
    <n v="22"/>
    <s v="Male"/>
    <s v="Graduate"/>
    <s v="Canada"/>
    <n v="5.2"/>
    <x v="2"/>
    <s v="Yes"/>
    <n v="7"/>
    <n v="6"/>
    <s v="Single"/>
    <n v="3"/>
    <n v="7"/>
    <s v="Tiktok"/>
    <n v="2"/>
    <s v="7"/>
    <s v="OK"/>
    <b v="1"/>
    <s v="High"/>
    <s v="7"/>
    <n v="4.8"/>
    <b v="1"/>
  </r>
  <r>
    <n v="341"/>
    <n v="19"/>
    <s v="Female"/>
    <s v="Undergraduate"/>
    <s v="Spain"/>
    <n v="5"/>
    <x v="0"/>
    <s v="Yes"/>
    <n v="6.9"/>
    <n v="6"/>
    <s v="Single"/>
    <n v="3"/>
    <n v="7"/>
    <s v="Instagram"/>
    <n v="1"/>
    <s v="6.9"/>
    <s v="OK"/>
    <b v="1"/>
    <s v="High"/>
    <s v="7"/>
    <n v="4.8"/>
    <b v="1"/>
  </r>
  <r>
    <n v="342"/>
    <n v="21"/>
    <s v="Male"/>
    <s v="Graduate"/>
    <s v="Denmark"/>
    <n v="3.8"/>
    <x v="4"/>
    <s v="No"/>
    <n v="8"/>
    <n v="8"/>
    <s v="In Relationship"/>
    <n v="2"/>
    <n v="4"/>
    <s v="Facebook"/>
    <n v="0"/>
    <s v="8"/>
    <s v="OK"/>
    <s v="medium"/>
    <s v="Low"/>
    <s v="4"/>
    <n v="4.8"/>
    <b v="1"/>
  </r>
  <r>
    <n v="343"/>
    <n v="20"/>
    <s v="Female"/>
    <s v="Undergraduate"/>
    <s v="Ireland"/>
    <n v="4.7"/>
    <x v="2"/>
    <s v="Yes"/>
    <n v="7.2"/>
    <n v="7"/>
    <s v="Single"/>
    <n v="3"/>
    <n v="6"/>
    <s v="Tiktok"/>
    <n v="2"/>
    <s v="7.2"/>
    <s v="OK"/>
    <s v="medium"/>
    <s v="Medium"/>
    <s v="6"/>
    <n v="4.8"/>
    <b v="1"/>
  </r>
  <r>
    <n v="344"/>
    <n v="22"/>
    <s v="Male"/>
    <s v="Graduate"/>
    <s v="India"/>
    <n v="6"/>
    <x v="10"/>
    <s v="Yes"/>
    <n v="6.3"/>
    <n v="5"/>
    <s v="In Relationship"/>
    <n v="4"/>
    <n v="8"/>
    <s v="Whatsapp"/>
    <n v="1"/>
    <s v="6.3"/>
    <s v="OK"/>
    <b v="1"/>
    <s v="High"/>
    <s v="8"/>
    <n v="4.8"/>
    <b v="1"/>
  </r>
  <r>
    <n v="345"/>
    <n v="19"/>
    <s v="Female"/>
    <s v="Undergraduate"/>
    <s v="Switzerland"/>
    <n v="3.7"/>
    <x v="0"/>
    <s v="No"/>
    <n v="8.1"/>
    <n v="8"/>
    <s v="Single"/>
    <n v="2"/>
    <n v="4"/>
    <s v="Instagram"/>
    <n v="1"/>
    <s v="8.1"/>
    <s v="OK"/>
    <s v="medium"/>
    <s v="Low"/>
    <s v="4"/>
    <n v="4.8"/>
    <b v="1"/>
  </r>
  <r>
    <n v="346"/>
    <n v="21"/>
    <s v="Male"/>
    <s v="Graduate"/>
    <s v="Turkey"/>
    <n v="5.3"/>
    <x v="0"/>
    <s v="Yes"/>
    <n v="6.9"/>
    <n v="6"/>
    <s v="Single"/>
    <n v="3"/>
    <n v="7"/>
    <s v="Instagram"/>
    <n v="1"/>
    <s v="6.9"/>
    <s v="OK"/>
    <b v="1"/>
    <s v="High"/>
    <s v="7"/>
    <n v="4.8"/>
    <b v="1"/>
  </r>
  <r>
    <n v="347"/>
    <n v="20"/>
    <s v="Female"/>
    <s v="Undergraduate"/>
    <s v="USA"/>
    <n v="7"/>
    <x v="2"/>
    <s v="Yes"/>
    <n v="5.3"/>
    <n v="5"/>
    <s v="In Relationship"/>
    <n v="4"/>
    <n v="9"/>
    <s v="Tiktok"/>
    <n v="2"/>
    <s v="5.3"/>
    <s v="OK"/>
    <b v="1"/>
    <s v="High"/>
    <s v="9"/>
    <n v="4.8"/>
    <b v="1"/>
  </r>
  <r>
    <n v="348"/>
    <n v="22"/>
    <s v="Male"/>
    <s v="Graduate"/>
    <s v="Mexico"/>
    <n v="5.8"/>
    <x v="10"/>
    <s v="Yes"/>
    <n v="6.4"/>
    <n v="6"/>
    <s v="Single"/>
    <n v="3"/>
    <n v="7"/>
    <s v="Whatsapp"/>
    <n v="1"/>
    <s v="6.4"/>
    <s v="OK"/>
    <b v="1"/>
    <s v="High"/>
    <s v="7"/>
    <n v="4.8"/>
    <b v="1"/>
  </r>
  <r>
    <n v="349"/>
    <n v="19"/>
    <s v="Female"/>
    <s v="Undergraduate"/>
    <s v="France"/>
    <n v="4.3"/>
    <x v="0"/>
    <s v="No"/>
    <n v="7.7"/>
    <n v="7"/>
    <s v="In Relationship"/>
    <n v="2"/>
    <n v="5"/>
    <s v="Instagram"/>
    <n v="1"/>
    <s v="7.7"/>
    <s v="OK"/>
    <s v="medium"/>
    <s v="Medium"/>
    <s v="5"/>
    <n v="4.8"/>
    <b v="1"/>
  </r>
  <r>
    <n v="350"/>
    <n v="21"/>
    <s v="Male"/>
    <s v="Graduate"/>
    <s v="Canada"/>
    <n v="5.0999999999999996"/>
    <x v="0"/>
    <s v="Yes"/>
    <n v="7.1"/>
    <n v="6"/>
    <s v="Single"/>
    <n v="3"/>
    <n v="7"/>
    <s v="Instagram"/>
    <n v="1"/>
    <s v="7.1"/>
    <s v="OK"/>
    <b v="1"/>
    <s v="High"/>
    <s v="7"/>
    <n v="4.8"/>
    <b v="1"/>
  </r>
  <r>
    <n v="351"/>
    <n v="20"/>
    <s v="Female"/>
    <s v="Undergraduate"/>
    <s v="Spain"/>
    <n v="4.9000000000000004"/>
    <x v="2"/>
    <s v="Yes"/>
    <n v="7"/>
    <n v="6"/>
    <s v="Single"/>
    <n v="3"/>
    <n v="7"/>
    <s v="Tiktok"/>
    <n v="2"/>
    <s v="7"/>
    <s v="OK"/>
    <b v="1"/>
    <s v="High"/>
    <s v="7"/>
    <n v="4.8"/>
    <b v="1"/>
  </r>
  <r>
    <n v="352"/>
    <n v="22"/>
    <s v="Male"/>
    <s v="Graduate"/>
    <s v="Denmark"/>
    <n v="3.7"/>
    <x v="4"/>
    <s v="No"/>
    <n v="8.1"/>
    <n v="8"/>
    <s v="In Relationship"/>
    <n v="2"/>
    <n v="4"/>
    <s v="Facebook"/>
    <n v="0"/>
    <s v="8.1"/>
    <s v="OK"/>
    <s v="medium"/>
    <s v="Low"/>
    <s v="4"/>
    <n v="4.8"/>
    <b v="1"/>
  </r>
  <r>
    <n v="353"/>
    <n v="19"/>
    <s v="Female"/>
    <s v="Undergraduate"/>
    <s v="Ireland"/>
    <n v="4.5999999999999996"/>
    <x v="0"/>
    <s v="Yes"/>
    <n v="7.3"/>
    <n v="7"/>
    <s v="Single"/>
    <n v="3"/>
    <n v="6"/>
    <s v="Instagram"/>
    <n v="1"/>
    <s v="7.3"/>
    <s v="OK"/>
    <s v="medium"/>
    <s v="Medium"/>
    <s v="6"/>
    <n v="4.8"/>
    <b v="1"/>
  </r>
  <r>
    <n v="354"/>
    <n v="21"/>
    <s v="Male"/>
    <s v="Graduate"/>
    <s v="India"/>
    <n v="6.1"/>
    <x v="10"/>
    <s v="Yes"/>
    <n v="6.2"/>
    <n v="5"/>
    <s v="In Relationship"/>
    <n v="4"/>
    <n v="8"/>
    <s v="Whatsapp"/>
    <n v="1"/>
    <s v="6.2"/>
    <s v="OK"/>
    <b v="1"/>
    <s v="High"/>
    <s v="8"/>
    <n v="4.8"/>
    <b v="1"/>
  </r>
  <r>
    <n v="355"/>
    <n v="20"/>
    <s v="Female"/>
    <s v="Undergraduate"/>
    <s v="Switzerland"/>
    <n v="3.6"/>
    <x v="0"/>
    <s v="No"/>
    <n v="8.1999999999999993"/>
    <n v="8"/>
    <s v="Single"/>
    <n v="2"/>
    <n v="4"/>
    <s v="Instagram"/>
    <n v="1"/>
    <s v="8.2"/>
    <s v="OK"/>
    <s v="medium"/>
    <s v="Low"/>
    <s v="4"/>
    <n v="4.8"/>
    <b v="1"/>
  </r>
  <r>
    <n v="356"/>
    <n v="22"/>
    <s v="Male"/>
    <s v="Graduate"/>
    <s v="Turkey"/>
    <n v="5.2"/>
    <x v="2"/>
    <s v="Yes"/>
    <n v="7"/>
    <n v="6"/>
    <s v="Single"/>
    <n v="3"/>
    <n v="7"/>
    <s v="Tiktok"/>
    <n v="2"/>
    <s v="7"/>
    <s v="OK"/>
    <b v="1"/>
    <s v="High"/>
    <s v="7"/>
    <n v="4.8"/>
    <b v="1"/>
  </r>
  <r>
    <n v="357"/>
    <n v="19"/>
    <s v="Female"/>
    <s v="Undergraduate"/>
    <s v="USA"/>
    <n v="7.1"/>
    <x v="0"/>
    <s v="Yes"/>
    <n v="5.2"/>
    <n v="5"/>
    <s v="In Relationship"/>
    <n v="4"/>
    <n v="9"/>
    <s v="Instagram"/>
    <n v="1"/>
    <s v="5.2"/>
    <s v="OK"/>
    <b v="1"/>
    <s v="High"/>
    <s v="9"/>
    <n v="4.8"/>
    <b v="1"/>
  </r>
  <r>
    <n v="358"/>
    <n v="21"/>
    <s v="Male"/>
    <s v="Graduate"/>
    <s v="Mexico"/>
    <n v="5.9"/>
    <x v="10"/>
    <s v="Yes"/>
    <n v="6.3"/>
    <n v="6"/>
    <s v="Single"/>
    <n v="3"/>
    <n v="7"/>
    <s v="Whatsapp"/>
    <n v="1"/>
    <s v="6.3"/>
    <s v="OK"/>
    <b v="1"/>
    <s v="High"/>
    <s v="7"/>
    <n v="4.7"/>
    <b v="1"/>
  </r>
  <r>
    <n v="359"/>
    <n v="20"/>
    <s v="Female"/>
    <s v="Undergraduate"/>
    <s v="France"/>
    <n v="4.2"/>
    <x v="0"/>
    <s v="No"/>
    <n v="7.8"/>
    <n v="7"/>
    <s v="In Relationship"/>
    <n v="2"/>
    <n v="5"/>
    <s v="Instagram"/>
    <n v="1"/>
    <s v="7.8"/>
    <s v="OK"/>
    <s v="medium"/>
    <s v="Medium"/>
    <s v="5"/>
    <n v="4.7"/>
    <b v="1"/>
  </r>
  <r>
    <n v="360"/>
    <n v="22"/>
    <s v="Male"/>
    <s v="Graduate"/>
    <s v="Canada"/>
    <n v="5"/>
    <x v="2"/>
    <s v="Yes"/>
    <n v="7.2"/>
    <n v="6"/>
    <s v="Single"/>
    <n v="3"/>
    <n v="7"/>
    <s v="Tiktok"/>
    <n v="2"/>
    <s v="7.2"/>
    <s v="OK"/>
    <b v="1"/>
    <s v="High"/>
    <s v="7"/>
    <n v="4.7"/>
    <b v="1"/>
  </r>
  <r>
    <n v="361"/>
    <n v="19"/>
    <s v="Female"/>
    <s v="Undergraduate"/>
    <s v="Spain"/>
    <n v="4.8"/>
    <x v="0"/>
    <s v="Yes"/>
    <n v="7.1"/>
    <n v="6"/>
    <s v="Single"/>
    <n v="3"/>
    <n v="7"/>
    <s v="Instagram"/>
    <n v="1"/>
    <s v="7.1"/>
    <s v="OK"/>
    <b v="1"/>
    <s v="High"/>
    <s v="7"/>
    <n v="4.7"/>
    <b v="1"/>
  </r>
  <r>
    <n v="362"/>
    <n v="21"/>
    <s v="Male"/>
    <s v="Graduate"/>
    <s v="Denmark"/>
    <n v="3.6"/>
    <x v="4"/>
    <s v="No"/>
    <n v="8.1999999999999993"/>
    <n v="8"/>
    <s v="In Relationship"/>
    <n v="2"/>
    <n v="4"/>
    <s v="Facebook"/>
    <n v="0"/>
    <s v="8.2"/>
    <s v="OK"/>
    <s v="medium"/>
    <s v="Low"/>
    <s v="4"/>
    <n v="4.7"/>
    <b v="1"/>
  </r>
  <r>
    <n v="363"/>
    <n v="20"/>
    <s v="Female"/>
    <s v="Undergraduate"/>
    <s v="Ireland"/>
    <n v="4.5"/>
    <x v="2"/>
    <s v="Yes"/>
    <n v="7.4"/>
    <n v="7"/>
    <s v="Single"/>
    <n v="3"/>
    <n v="6"/>
    <s v="Tiktok"/>
    <n v="2"/>
    <s v="7.4"/>
    <s v="OK"/>
    <s v="medium"/>
    <s v="Medium"/>
    <s v="6"/>
    <n v="4.7"/>
    <b v="1"/>
  </r>
  <r>
    <n v="364"/>
    <n v="22"/>
    <s v="Male"/>
    <s v="Graduate"/>
    <s v="India"/>
    <n v="6.2"/>
    <x v="10"/>
    <s v="Yes"/>
    <n v="6.1"/>
    <n v="5"/>
    <s v="In Relationship"/>
    <n v="4"/>
    <n v="8"/>
    <s v="Whatsapp"/>
    <n v="1"/>
    <s v="6.1"/>
    <s v="OK"/>
    <b v="1"/>
    <s v="High"/>
    <s v="8"/>
    <n v="4.7"/>
    <b v="1"/>
  </r>
  <r>
    <n v="365"/>
    <n v="19"/>
    <s v="Female"/>
    <s v="Undergraduate"/>
    <s v="Switzerland"/>
    <n v="3.5"/>
    <x v="0"/>
    <s v="No"/>
    <n v="8.3000000000000007"/>
    <n v="8"/>
    <s v="Single"/>
    <n v="2"/>
    <n v="4"/>
    <s v="Instagram"/>
    <n v="1"/>
    <s v="8.3"/>
    <s v="OK"/>
    <s v="medium"/>
    <s v="Low"/>
    <s v="4"/>
    <n v="4.7"/>
    <b v="1"/>
  </r>
  <r>
    <n v="366"/>
    <n v="21"/>
    <s v="Male"/>
    <s v="Graduate"/>
    <s v="Turkey"/>
    <n v="5.0999999999999996"/>
    <x v="0"/>
    <s v="Yes"/>
    <n v="7.1"/>
    <n v="6"/>
    <s v="Single"/>
    <n v="3"/>
    <n v="7"/>
    <s v="Instagram"/>
    <n v="1"/>
    <s v="7.1"/>
    <s v="OK"/>
    <b v="1"/>
    <s v="High"/>
    <s v="7"/>
    <n v="4.7"/>
    <b v="1"/>
  </r>
  <r>
    <n v="367"/>
    <n v="20"/>
    <s v="Female"/>
    <s v="Undergraduate"/>
    <s v="USA"/>
    <n v="7.2"/>
    <x v="2"/>
    <s v="Yes"/>
    <n v="5.0999999999999996"/>
    <n v="5"/>
    <s v="In Relationship"/>
    <n v="4"/>
    <n v="9"/>
    <s v="Tiktok"/>
    <n v="2"/>
    <s v="5.1"/>
    <s v="OK"/>
    <b v="1"/>
    <s v="High"/>
    <s v="9"/>
    <n v="4.7"/>
    <b v="1"/>
  </r>
  <r>
    <n v="368"/>
    <n v="22"/>
    <s v="Male"/>
    <s v="Graduate"/>
    <s v="Mexico"/>
    <n v="6"/>
    <x v="10"/>
    <s v="Yes"/>
    <n v="6.2"/>
    <n v="6"/>
    <s v="Single"/>
    <n v="3"/>
    <n v="7"/>
    <s v="Whatsapp"/>
    <n v="1"/>
    <s v="6.2"/>
    <s v="OK"/>
    <b v="1"/>
    <s v="High"/>
    <s v="7"/>
    <n v="4.7"/>
    <b v="1"/>
  </r>
  <r>
    <n v="369"/>
    <n v="19"/>
    <s v="Female"/>
    <s v="Undergraduate"/>
    <s v="France"/>
    <n v="4.0999999999999996"/>
    <x v="0"/>
    <s v="No"/>
    <n v="7.9"/>
    <n v="7"/>
    <s v="In Relationship"/>
    <n v="2"/>
    <n v="5"/>
    <s v="Instagram"/>
    <n v="1"/>
    <s v="7.9"/>
    <s v="OK"/>
    <s v="medium"/>
    <s v="Medium"/>
    <s v="5"/>
    <n v="4.7"/>
    <b v="1"/>
  </r>
  <r>
    <n v="370"/>
    <n v="21"/>
    <s v="Male"/>
    <s v="Graduate"/>
    <s v="Canada"/>
    <n v="4.9000000000000004"/>
    <x v="0"/>
    <s v="Yes"/>
    <n v="7.3"/>
    <n v="6"/>
    <s v="Single"/>
    <n v="3"/>
    <n v="7"/>
    <s v="Instagram"/>
    <n v="1"/>
    <s v="7.3"/>
    <s v="OK"/>
    <b v="1"/>
    <s v="High"/>
    <s v="7"/>
    <n v="4.7"/>
    <b v="1"/>
  </r>
  <r>
    <n v="371"/>
    <n v="20"/>
    <s v="Female"/>
    <s v="Undergraduate"/>
    <s v="Spain"/>
    <n v="4.7"/>
    <x v="2"/>
    <s v="Yes"/>
    <n v="7.2"/>
    <n v="6"/>
    <s v="Single"/>
    <n v="3"/>
    <n v="7"/>
    <s v="Tiktok"/>
    <n v="2"/>
    <s v="7.2"/>
    <s v="OK"/>
    <b v="1"/>
    <s v="High"/>
    <s v="7"/>
    <n v="4.7"/>
    <b v="1"/>
  </r>
  <r>
    <n v="372"/>
    <n v="22"/>
    <s v="Male"/>
    <s v="Graduate"/>
    <s v="Denmark"/>
    <n v="3.5"/>
    <x v="4"/>
    <s v="No"/>
    <n v="8.3000000000000007"/>
    <n v="8"/>
    <s v="In Relationship"/>
    <n v="2"/>
    <n v="4"/>
    <s v="Facebook"/>
    <n v="0"/>
    <s v="8.3"/>
    <s v="OK"/>
    <s v="medium"/>
    <s v="Low"/>
    <s v="4"/>
    <n v="4.7"/>
    <b v="1"/>
  </r>
  <r>
    <n v="373"/>
    <n v="19"/>
    <s v="Female"/>
    <s v="Undergraduate"/>
    <s v="Ireland"/>
    <n v="4.4000000000000004"/>
    <x v="0"/>
    <s v="Yes"/>
    <n v="7.5"/>
    <n v="7"/>
    <s v="Single"/>
    <n v="3"/>
    <n v="6"/>
    <s v="Instagram"/>
    <n v="1"/>
    <s v="7.5"/>
    <s v="OK"/>
    <s v="medium"/>
    <s v="Medium"/>
    <s v="6"/>
    <n v="4.7"/>
    <b v="1"/>
  </r>
  <r>
    <n v="374"/>
    <n v="21"/>
    <s v="Male"/>
    <s v="Graduate"/>
    <s v="India"/>
    <n v="6.3"/>
    <x v="10"/>
    <s v="Yes"/>
    <n v="6"/>
    <n v="5"/>
    <s v="In Relationship"/>
    <n v="4"/>
    <n v="8"/>
    <s v="Whatsapp"/>
    <n v="1"/>
    <s v="6"/>
    <s v="OK"/>
    <b v="1"/>
    <s v="High"/>
    <s v="8"/>
    <n v="4.7"/>
    <b v="1"/>
  </r>
  <r>
    <n v="375"/>
    <n v="20"/>
    <s v="Female"/>
    <s v="Undergraduate"/>
    <s v="Switzerland"/>
    <n v="3.4"/>
    <x v="0"/>
    <s v="No"/>
    <n v="8.4"/>
    <n v="8"/>
    <s v="Single"/>
    <n v="2"/>
    <n v="4"/>
    <s v="Instagram"/>
    <n v="1"/>
    <s v="8.4"/>
    <s v="OK"/>
    <s v="medium"/>
    <s v="Low"/>
    <s v="4"/>
    <n v="4.7"/>
    <b v="1"/>
  </r>
  <r>
    <n v="376"/>
    <n v="22"/>
    <s v="Male"/>
    <s v="Graduate"/>
    <s v="Turkey"/>
    <n v="5"/>
    <x v="2"/>
    <s v="Yes"/>
    <n v="7.2"/>
    <n v="6"/>
    <s v="Single"/>
    <n v="3"/>
    <n v="7"/>
    <s v="Tiktok"/>
    <n v="2"/>
    <s v="7.2"/>
    <s v="OK"/>
    <b v="1"/>
    <s v="High"/>
    <s v="7"/>
    <n v="4.7"/>
    <b v="1"/>
  </r>
  <r>
    <n v="377"/>
    <n v="19"/>
    <s v="Female"/>
    <s v="Undergraduate"/>
    <s v="USA"/>
    <n v="7.3"/>
    <x v="0"/>
    <s v="Yes"/>
    <n v="5"/>
    <n v="5"/>
    <s v="In Relationship"/>
    <n v="4"/>
    <n v="9"/>
    <s v="Instagram"/>
    <n v="1"/>
    <s v="5"/>
    <s v="OK"/>
    <b v="1"/>
    <s v="High"/>
    <s v="9"/>
    <n v="4.7"/>
    <b v="1"/>
  </r>
  <r>
    <n v="378"/>
    <n v="21"/>
    <s v="Male"/>
    <s v="Graduate"/>
    <s v="Mexico"/>
    <n v="6.1"/>
    <x v="10"/>
    <s v="Yes"/>
    <n v="6.1"/>
    <n v="6"/>
    <s v="Single"/>
    <n v="3"/>
    <n v="7"/>
    <s v="Whatsapp"/>
    <n v="1"/>
    <s v="6.1"/>
    <s v="OK"/>
    <b v="1"/>
    <s v="High"/>
    <s v="7"/>
    <n v="4.7"/>
    <b v="1"/>
  </r>
  <r>
    <n v="379"/>
    <n v="20"/>
    <s v="Female"/>
    <s v="Undergraduate"/>
    <s v="France"/>
    <n v="4"/>
    <x v="0"/>
    <s v="No"/>
    <n v="8"/>
    <n v="7"/>
    <s v="In Relationship"/>
    <n v="2"/>
    <n v="5"/>
    <s v="Instagram"/>
    <n v="1"/>
    <s v="8"/>
    <s v="OK"/>
    <s v="medium"/>
    <s v="Medium"/>
    <s v="5"/>
    <n v="4.7"/>
    <b v="1"/>
  </r>
  <r>
    <n v="380"/>
    <n v="22"/>
    <s v="Male"/>
    <s v="Graduate"/>
    <s v="Canada"/>
    <n v="4.8"/>
    <x v="2"/>
    <s v="Yes"/>
    <n v="7.4"/>
    <n v="6"/>
    <s v="Single"/>
    <n v="3"/>
    <n v="7"/>
    <s v="Tiktok"/>
    <n v="2"/>
    <s v="7.4"/>
    <s v="OK"/>
    <b v="1"/>
    <s v="High"/>
    <s v="7"/>
    <n v="4.7"/>
    <b v="1"/>
  </r>
  <r>
    <n v="381"/>
    <n v="19"/>
    <s v="Female"/>
    <s v="Undergraduate"/>
    <s v="Spain"/>
    <n v="4.5999999999999996"/>
    <x v="0"/>
    <s v="Yes"/>
    <n v="7.3"/>
    <n v="6"/>
    <s v="Single"/>
    <n v="3"/>
    <n v="7"/>
    <s v="Instagram"/>
    <n v="1"/>
    <s v="7.3"/>
    <s v="OK"/>
    <b v="1"/>
    <s v="High"/>
    <s v="7"/>
    <n v="4.7"/>
    <b v="1"/>
  </r>
  <r>
    <n v="382"/>
    <n v="21"/>
    <s v="Male"/>
    <s v="Graduate"/>
    <s v="Denmark"/>
    <n v="3.4"/>
    <x v="4"/>
    <s v="No"/>
    <n v="8.4"/>
    <n v="8"/>
    <s v="In Relationship"/>
    <n v="2"/>
    <n v="4"/>
    <s v="Facebook"/>
    <n v="0"/>
    <s v="8.4"/>
    <s v="OK"/>
    <s v="medium"/>
    <s v="Low"/>
    <s v="4"/>
    <n v="4.7"/>
    <b v="1"/>
  </r>
  <r>
    <n v="383"/>
    <n v="20"/>
    <s v="Female"/>
    <s v="Undergraduate"/>
    <s v="Ireland"/>
    <n v="4.3"/>
    <x v="2"/>
    <s v="Yes"/>
    <n v="7.6"/>
    <n v="7"/>
    <s v="Single"/>
    <n v="3"/>
    <n v="6"/>
    <s v="Tiktok"/>
    <n v="2"/>
    <s v="7.6"/>
    <s v="OK"/>
    <s v="medium"/>
    <s v="Medium"/>
    <s v="6"/>
    <n v="4.7"/>
    <b v="1"/>
  </r>
  <r>
    <n v="384"/>
    <n v="22"/>
    <s v="Male"/>
    <s v="Graduate"/>
    <s v="India"/>
    <n v="6.4"/>
    <x v="10"/>
    <s v="Yes"/>
    <n v="5.9"/>
    <n v="5"/>
    <s v="In Relationship"/>
    <n v="4"/>
    <n v="8"/>
    <s v="Whatsapp"/>
    <n v="1"/>
    <s v="5.9"/>
    <s v="OK"/>
    <b v="1"/>
    <s v="High"/>
    <s v="8"/>
    <n v="4.7"/>
    <b v="1"/>
  </r>
  <r>
    <n v="385"/>
    <n v="19"/>
    <s v="Female"/>
    <s v="Undergraduate"/>
    <s v="Switzerland"/>
    <n v="3.3"/>
    <x v="0"/>
    <s v="No"/>
    <n v="8.5"/>
    <n v="8"/>
    <s v="Single"/>
    <n v="2"/>
    <n v="4"/>
    <s v="Instagram"/>
    <n v="1"/>
    <s v="8.5"/>
    <s v="OK"/>
    <s v="medium"/>
    <s v="Low"/>
    <s v="4"/>
    <n v="4.7"/>
    <b v="1"/>
  </r>
  <r>
    <n v="386"/>
    <n v="21"/>
    <s v="Male"/>
    <s v="Graduate"/>
    <s v="Turkey"/>
    <n v="4.9000000000000004"/>
    <x v="0"/>
    <s v="Yes"/>
    <n v="7.3"/>
    <n v="6"/>
    <s v="Single"/>
    <n v="3"/>
    <n v="7"/>
    <s v="Instagram"/>
    <n v="1"/>
    <s v="7.3"/>
    <s v="OK"/>
    <b v="1"/>
    <s v="High"/>
    <s v="7"/>
    <n v="4.7"/>
    <b v="1"/>
  </r>
  <r>
    <n v="387"/>
    <n v="20"/>
    <s v="Female"/>
    <s v="Undergraduate"/>
    <s v="USA"/>
    <n v="7.4"/>
    <x v="2"/>
    <s v="Yes"/>
    <n v="4.9000000000000004"/>
    <n v="5"/>
    <s v="In Relationship"/>
    <n v="4"/>
    <n v="9"/>
    <s v="Tiktok"/>
    <n v="2"/>
    <s v="4.9"/>
    <s v="LESS SLEEP"/>
    <b v="1"/>
    <s v="High"/>
    <s v="9"/>
    <n v="4.7"/>
    <b v="1"/>
  </r>
  <r>
    <n v="388"/>
    <n v="22"/>
    <s v="Male"/>
    <s v="Graduate"/>
    <s v="Mexico"/>
    <n v="6.2"/>
    <x v="10"/>
    <s v="Yes"/>
    <n v="6"/>
    <n v="6"/>
    <s v="Single"/>
    <n v="3"/>
    <n v="7"/>
    <s v="Whatsapp"/>
    <n v="1"/>
    <s v="6"/>
    <s v="OK"/>
    <b v="1"/>
    <s v="High"/>
    <s v="7"/>
    <n v="4.7"/>
    <b v="1"/>
  </r>
  <r>
    <n v="389"/>
    <n v="19"/>
    <s v="Female"/>
    <s v="Undergraduate"/>
    <s v="France"/>
    <n v="3.9"/>
    <x v="0"/>
    <s v="No"/>
    <n v="8.1"/>
    <n v="7"/>
    <s v="In Relationship"/>
    <n v="2"/>
    <n v="5"/>
    <s v="Instagram"/>
    <n v="1"/>
    <s v="8.1"/>
    <s v="OK"/>
    <s v="medium"/>
    <s v="Medium"/>
    <s v="5"/>
    <n v="4.5999999999999996"/>
    <b v="1"/>
  </r>
  <r>
    <n v="390"/>
    <n v="21"/>
    <s v="Male"/>
    <s v="Graduate"/>
    <s v="Canada"/>
    <n v="4.7"/>
    <x v="0"/>
    <s v="Yes"/>
    <n v="7.5"/>
    <n v="6"/>
    <s v="Single"/>
    <n v="3"/>
    <n v="7"/>
    <s v="Instagram"/>
    <n v="1"/>
    <s v="7.5"/>
    <s v="OK"/>
    <b v="1"/>
    <s v="High"/>
    <s v="7"/>
    <n v="4.5999999999999996"/>
    <b v="1"/>
  </r>
  <r>
    <n v="391"/>
    <n v="20"/>
    <s v="Female"/>
    <s v="Undergraduate"/>
    <s v="Spain"/>
    <n v="4.5"/>
    <x v="2"/>
    <s v="Yes"/>
    <n v="7.4"/>
    <n v="6"/>
    <s v="Single"/>
    <n v="3"/>
    <n v="7"/>
    <s v="Tiktok"/>
    <n v="2"/>
    <s v="7.4"/>
    <s v="OK"/>
    <b v="1"/>
    <s v="High"/>
    <s v="7"/>
    <n v="4.5999999999999996"/>
    <b v="1"/>
  </r>
  <r>
    <n v="392"/>
    <n v="22"/>
    <s v="Male"/>
    <s v="Graduate"/>
    <s v="Denmark"/>
    <n v="3.3"/>
    <x v="4"/>
    <s v="No"/>
    <n v="8.5"/>
    <n v="8"/>
    <s v="In Relationship"/>
    <n v="2"/>
    <n v="4"/>
    <s v="Facebook"/>
    <n v="0"/>
    <s v="8.5"/>
    <s v="OK"/>
    <s v="medium"/>
    <s v="Low"/>
    <s v="4"/>
    <n v="4.5999999999999996"/>
    <b v="1"/>
  </r>
  <r>
    <n v="393"/>
    <n v="19"/>
    <s v="Female"/>
    <s v="Undergraduate"/>
    <s v="Ireland"/>
    <n v="4.2"/>
    <x v="0"/>
    <s v="Yes"/>
    <n v="7.7"/>
    <n v="7"/>
    <s v="Single"/>
    <n v="3"/>
    <n v="6"/>
    <s v="Instagram"/>
    <n v="1"/>
    <s v="7.7"/>
    <s v="OK"/>
    <s v="medium"/>
    <s v="Medium"/>
    <s v="6"/>
    <n v="4.5999999999999996"/>
    <b v="1"/>
  </r>
  <r>
    <n v="394"/>
    <n v="21"/>
    <s v="Male"/>
    <s v="Graduate"/>
    <s v="India"/>
    <n v="6.5"/>
    <x v="10"/>
    <s v="Yes"/>
    <n v="5.8"/>
    <n v="5"/>
    <s v="In Relationship"/>
    <n v="4"/>
    <n v="8"/>
    <s v="Whatsapp"/>
    <n v="1"/>
    <s v="5.8"/>
    <s v="OK"/>
    <b v="1"/>
    <s v="High"/>
    <s v="8"/>
    <n v="4.5999999999999996"/>
    <b v="1"/>
  </r>
  <r>
    <n v="395"/>
    <n v="20"/>
    <s v="Female"/>
    <s v="Undergraduate"/>
    <s v="Switzerland"/>
    <n v="3.2"/>
    <x v="0"/>
    <s v="No"/>
    <n v="8.6"/>
    <n v="8"/>
    <s v="Single"/>
    <n v="2"/>
    <n v="4"/>
    <s v="Instagram"/>
    <n v="1"/>
    <s v="8.6"/>
    <s v="OK"/>
    <s v="medium"/>
    <s v="Low"/>
    <s v="4"/>
    <n v="4.5999999999999996"/>
    <b v="1"/>
  </r>
  <r>
    <n v="396"/>
    <n v="22"/>
    <s v="Male"/>
    <s v="Graduate"/>
    <s v="Turkey"/>
    <n v="4.8"/>
    <x v="2"/>
    <s v="Yes"/>
    <n v="7.4"/>
    <n v="6"/>
    <s v="Single"/>
    <n v="3"/>
    <n v="7"/>
    <s v="Tiktok"/>
    <n v="2"/>
    <s v="7.4"/>
    <s v="OK"/>
    <b v="1"/>
    <s v="High"/>
    <s v="7"/>
    <n v="4.5999999999999996"/>
    <b v="1"/>
  </r>
  <r>
    <n v="397"/>
    <n v="19"/>
    <s v="Female"/>
    <s v="Undergraduate"/>
    <s v="USA"/>
    <n v="7.5"/>
    <x v="0"/>
    <s v="Yes"/>
    <n v="4.8"/>
    <n v="5"/>
    <s v="In Relationship"/>
    <n v="4"/>
    <n v="9"/>
    <s v="Instagram"/>
    <n v="1"/>
    <s v="4.8"/>
    <s v="LESS SLEEP"/>
    <b v="1"/>
    <s v="High"/>
    <s v="9"/>
    <n v="4.5999999999999996"/>
    <b v="1"/>
  </r>
  <r>
    <n v="398"/>
    <n v="21"/>
    <s v="Male"/>
    <s v="Graduate"/>
    <s v="Mexico"/>
    <n v="6.3"/>
    <x v="10"/>
    <s v="Yes"/>
    <n v="5.9"/>
    <n v="6"/>
    <s v="Single"/>
    <n v="3"/>
    <n v="7"/>
    <s v="Whatsapp"/>
    <n v="1"/>
    <s v="5.9"/>
    <s v="OK"/>
    <b v="1"/>
    <s v="High"/>
    <s v="7"/>
    <n v="4.5999999999999996"/>
    <b v="1"/>
  </r>
  <r>
    <n v="399"/>
    <n v="20"/>
    <s v="Female"/>
    <s v="Undergraduate"/>
    <s v="France"/>
    <n v="3.8"/>
    <x v="0"/>
    <s v="No"/>
    <n v="8.1999999999999993"/>
    <n v="7"/>
    <s v="In Relationship"/>
    <n v="2"/>
    <n v="5"/>
    <s v="Instagram"/>
    <n v="1"/>
    <s v="8.2"/>
    <s v="OK"/>
    <s v="medium"/>
    <s v="Medium"/>
    <s v="5"/>
    <n v="4.5999999999999996"/>
    <b v="1"/>
  </r>
  <r>
    <n v="400"/>
    <n v="22"/>
    <s v="Male"/>
    <s v="Graduate"/>
    <s v="Canada"/>
    <n v="4.5999999999999996"/>
    <x v="2"/>
    <s v="Yes"/>
    <n v="7.6"/>
    <n v="6"/>
    <s v="Single"/>
    <n v="3"/>
    <n v="7"/>
    <s v="Tiktok"/>
    <n v="2"/>
    <s v="7.6"/>
    <s v="OK"/>
    <b v="1"/>
    <s v="High"/>
    <s v="7"/>
    <n v="4.5999999999999996"/>
    <b v="1"/>
  </r>
  <r>
    <n v="401"/>
    <n v="19"/>
    <s v="Female"/>
    <s v="Undergraduate"/>
    <s v="Spain"/>
    <n v="4.4000000000000004"/>
    <x v="0"/>
    <s v="Yes"/>
    <n v="7.5"/>
    <n v="6"/>
    <s v="Single"/>
    <n v="3"/>
    <n v="7"/>
    <s v="Instagram"/>
    <n v="1"/>
    <s v="7.5"/>
    <s v="OK"/>
    <b v="1"/>
    <s v="High"/>
    <s v="7"/>
    <n v="4.5999999999999996"/>
    <b v="1"/>
  </r>
  <r>
    <n v="402"/>
    <n v="21"/>
    <s v="Male"/>
    <s v="Graduate"/>
    <s v="Denmark"/>
    <n v="3.2"/>
    <x v="4"/>
    <s v="No"/>
    <n v="8.6"/>
    <n v="8"/>
    <s v="In Relationship"/>
    <n v="2"/>
    <n v="4"/>
    <s v="Facebook"/>
    <n v="0"/>
    <s v="8.6"/>
    <s v="OK"/>
    <s v="medium"/>
    <s v="Low"/>
    <s v="4"/>
    <n v="4.5999999999999996"/>
    <b v="1"/>
  </r>
  <r>
    <n v="403"/>
    <n v="20"/>
    <s v="Female"/>
    <s v="Undergraduate"/>
    <s v="Ireland"/>
    <n v="4.0999999999999996"/>
    <x v="2"/>
    <s v="Yes"/>
    <n v="7.8"/>
    <n v="7"/>
    <s v="Single"/>
    <n v="3"/>
    <n v="6"/>
    <s v="Tiktok"/>
    <n v="2"/>
    <s v="7.8"/>
    <s v="OK"/>
    <s v="medium"/>
    <s v="Medium"/>
    <s v="6"/>
    <n v="4.5999999999999996"/>
    <b v="1"/>
  </r>
  <r>
    <n v="404"/>
    <n v="22"/>
    <s v="Male"/>
    <s v="Graduate"/>
    <s v="India"/>
    <n v="6.6"/>
    <x v="10"/>
    <s v="Yes"/>
    <n v="5.7"/>
    <n v="5"/>
    <s v="In Relationship"/>
    <n v="4"/>
    <n v="8"/>
    <s v="Whatsapp"/>
    <n v="1"/>
    <s v="5.7"/>
    <s v="OK"/>
    <b v="1"/>
    <s v="High"/>
    <s v="8"/>
    <n v="4.5999999999999996"/>
    <b v="1"/>
  </r>
  <r>
    <n v="405"/>
    <n v="19"/>
    <s v="Female"/>
    <s v="Undergraduate"/>
    <s v="Switzerland"/>
    <n v="3.1"/>
    <x v="0"/>
    <s v="No"/>
    <n v="8.6999999999999993"/>
    <n v="8"/>
    <s v="Single"/>
    <n v="2"/>
    <n v="4"/>
    <s v="Instagram"/>
    <n v="1"/>
    <s v="8.7"/>
    <s v="OK"/>
    <s v="medium"/>
    <s v="Low"/>
    <s v="4"/>
    <n v="4.5999999999999996"/>
    <b v="1"/>
  </r>
  <r>
    <n v="406"/>
    <n v="21"/>
    <s v="Male"/>
    <s v="Graduate"/>
    <s v="Turkey"/>
    <n v="4.7"/>
    <x v="0"/>
    <s v="Yes"/>
    <n v="7.5"/>
    <n v="6"/>
    <s v="Single"/>
    <n v="3"/>
    <n v="7"/>
    <s v="Instagram"/>
    <n v="1"/>
    <s v="7.5"/>
    <s v="OK"/>
    <b v="1"/>
    <s v="High"/>
    <s v="7"/>
    <n v="4.5999999999999996"/>
    <b v="1"/>
  </r>
  <r>
    <n v="407"/>
    <n v="20"/>
    <s v="Female"/>
    <s v="Undergraduate"/>
    <s v="USA"/>
    <n v="7.6"/>
    <x v="2"/>
    <s v="Yes"/>
    <n v="4.7"/>
    <n v="5"/>
    <s v="In Relationship"/>
    <n v="4"/>
    <n v="9"/>
    <s v="Tiktok"/>
    <n v="2"/>
    <s v="4.7"/>
    <s v="LESS SLEEP"/>
    <b v="1"/>
    <s v="High"/>
    <s v="9"/>
    <n v="4.5999999999999996"/>
    <b v="1"/>
  </r>
  <r>
    <n v="408"/>
    <n v="22"/>
    <s v="Male"/>
    <s v="Graduate"/>
    <s v="Mexico"/>
    <n v="6.4"/>
    <x v="10"/>
    <s v="Yes"/>
    <n v="5.8"/>
    <n v="6"/>
    <s v="Single"/>
    <n v="3"/>
    <n v="7"/>
    <s v="Whatsapp"/>
    <n v="1"/>
    <s v="5.8"/>
    <s v="OK"/>
    <b v="1"/>
    <s v="High"/>
    <s v="7"/>
    <n v="4.5999999999999996"/>
    <b v="1"/>
  </r>
  <r>
    <n v="409"/>
    <n v="19"/>
    <s v="Female"/>
    <s v="Undergraduate"/>
    <s v="France"/>
    <n v="3.7"/>
    <x v="0"/>
    <s v="No"/>
    <n v="8.3000000000000007"/>
    <n v="7"/>
    <s v="In Relationship"/>
    <n v="2"/>
    <n v="5"/>
    <s v="Instagram"/>
    <n v="1"/>
    <s v="8.3"/>
    <s v="OK"/>
    <s v="medium"/>
    <s v="Medium"/>
    <s v="5"/>
    <n v="4.5999999999999996"/>
    <b v="1"/>
  </r>
  <r>
    <n v="410"/>
    <n v="21"/>
    <s v="Male"/>
    <s v="Graduate"/>
    <s v="Canada"/>
    <n v="4.5"/>
    <x v="0"/>
    <s v="Yes"/>
    <n v="7.7"/>
    <n v="6"/>
    <s v="Single"/>
    <n v="3"/>
    <n v="7"/>
    <s v="Instagram"/>
    <n v="1"/>
    <s v="7.7"/>
    <s v="OK"/>
    <b v="1"/>
    <s v="High"/>
    <s v="7"/>
    <n v="4.5999999999999996"/>
    <b v="1"/>
  </r>
  <r>
    <n v="411"/>
    <n v="20"/>
    <s v="Female"/>
    <s v="Undergraduate"/>
    <s v="Spain"/>
    <n v="4.3"/>
    <x v="2"/>
    <s v="Yes"/>
    <n v="7.6"/>
    <n v="6"/>
    <s v="Single"/>
    <n v="3"/>
    <n v="7"/>
    <s v="Tiktok"/>
    <n v="2"/>
    <s v="7.6"/>
    <s v="OK"/>
    <b v="1"/>
    <s v="High"/>
    <s v="7"/>
    <n v="4.5999999999999996"/>
    <b v="1"/>
  </r>
  <r>
    <n v="412"/>
    <n v="22"/>
    <s v="Male"/>
    <s v="Graduate"/>
    <s v="Denmark"/>
    <n v="3.1"/>
    <x v="4"/>
    <s v="No"/>
    <n v="8.6999999999999993"/>
    <n v="8"/>
    <s v="In Relationship"/>
    <n v="2"/>
    <n v="4"/>
    <s v="Facebook"/>
    <n v="0"/>
    <s v="8.7"/>
    <s v="OK"/>
    <s v="medium"/>
    <s v="Low"/>
    <s v="4"/>
    <n v="4.5999999999999996"/>
    <b v="1"/>
  </r>
  <r>
    <n v="413"/>
    <n v="19"/>
    <s v="Female"/>
    <s v="Undergraduate"/>
    <s v="Ireland"/>
    <n v="4"/>
    <x v="0"/>
    <s v="Yes"/>
    <n v="7.9"/>
    <n v="7"/>
    <s v="Single"/>
    <n v="3"/>
    <n v="6"/>
    <s v="Instagram"/>
    <n v="1"/>
    <s v="7.9"/>
    <s v="OK"/>
    <s v="medium"/>
    <s v="Medium"/>
    <s v="6"/>
    <n v="4.5999999999999996"/>
    <b v="1"/>
  </r>
  <r>
    <n v="414"/>
    <n v="21"/>
    <s v="Male"/>
    <s v="Graduate"/>
    <s v="India"/>
    <n v="6.7"/>
    <x v="10"/>
    <s v="Yes"/>
    <n v="5.6"/>
    <n v="5"/>
    <s v="In Relationship"/>
    <n v="4"/>
    <n v="8"/>
    <s v="Whatsapp"/>
    <n v="1"/>
    <s v="5.6"/>
    <s v="OK"/>
    <b v="1"/>
    <s v="High"/>
    <s v="8"/>
    <n v="4.5999999999999996"/>
    <b v="1"/>
  </r>
  <r>
    <n v="415"/>
    <n v="20"/>
    <s v="Female"/>
    <s v="Undergraduate"/>
    <s v="Switzerland"/>
    <n v="3"/>
    <x v="0"/>
    <s v="No"/>
    <n v="8.8000000000000007"/>
    <n v="8"/>
    <s v="Single"/>
    <n v="2"/>
    <n v="4"/>
    <s v="Instagram"/>
    <n v="1"/>
    <s v="8.8"/>
    <s v="OK"/>
    <s v="medium"/>
    <s v="Low"/>
    <s v="4"/>
    <n v="4.5999999999999996"/>
    <b v="1"/>
  </r>
  <r>
    <n v="416"/>
    <n v="22"/>
    <s v="Male"/>
    <s v="Graduate"/>
    <s v="Turkey"/>
    <n v="4.5999999999999996"/>
    <x v="2"/>
    <s v="Yes"/>
    <n v="7.6"/>
    <n v="6"/>
    <s v="Single"/>
    <n v="3"/>
    <n v="7"/>
    <s v="Tiktok"/>
    <n v="2"/>
    <s v="7.6"/>
    <s v="OK"/>
    <b v="1"/>
    <s v="High"/>
    <s v="7"/>
    <n v="4.5999999999999996"/>
    <b v="1"/>
  </r>
  <r>
    <n v="417"/>
    <n v="19"/>
    <s v="Female"/>
    <s v="Undergraduate"/>
    <s v="USA"/>
    <n v="7.7"/>
    <x v="0"/>
    <s v="Yes"/>
    <n v="4.5999999999999996"/>
    <n v="5"/>
    <s v="In Relationship"/>
    <n v="4"/>
    <n v="9"/>
    <s v="Instagram"/>
    <n v="1"/>
    <s v="4.6"/>
    <s v="LESS SLEEP"/>
    <b v="1"/>
    <s v="High"/>
    <s v="9"/>
    <n v="4.5"/>
    <b v="1"/>
  </r>
  <r>
    <n v="418"/>
    <n v="21"/>
    <s v="Male"/>
    <s v="Graduate"/>
    <s v="Mexico"/>
    <n v="6.5"/>
    <x v="10"/>
    <s v="Yes"/>
    <n v="5.7"/>
    <n v="6"/>
    <s v="Single"/>
    <n v="3"/>
    <n v="7"/>
    <s v="Whatsapp"/>
    <n v="1"/>
    <s v="5.7"/>
    <s v="OK"/>
    <b v="1"/>
    <s v="High"/>
    <s v="7"/>
    <n v="4.5"/>
    <b v="1"/>
  </r>
  <r>
    <n v="419"/>
    <n v="20"/>
    <s v="Female"/>
    <s v="Undergraduate"/>
    <s v="France"/>
    <n v="3.6"/>
    <x v="0"/>
    <s v="No"/>
    <n v="8.4"/>
    <n v="7"/>
    <s v="In Relationship"/>
    <n v="2"/>
    <n v="5"/>
    <s v="Instagram"/>
    <n v="1"/>
    <s v="8.4"/>
    <s v="OK"/>
    <s v="medium"/>
    <s v="Medium"/>
    <s v="5"/>
    <n v="4.5"/>
    <b v="1"/>
  </r>
  <r>
    <n v="420"/>
    <n v="22"/>
    <s v="Male"/>
    <s v="Graduate"/>
    <s v="Canada"/>
    <n v="4.4000000000000004"/>
    <x v="2"/>
    <s v="Yes"/>
    <n v="7.8"/>
    <n v="6"/>
    <s v="Single"/>
    <n v="3"/>
    <n v="7"/>
    <s v="Tiktok"/>
    <n v="2"/>
    <s v="7.8"/>
    <s v="OK"/>
    <b v="1"/>
    <s v="High"/>
    <s v="7"/>
    <n v="4.5"/>
    <b v="1"/>
  </r>
  <r>
    <n v="421"/>
    <n v="19"/>
    <s v="Female"/>
    <s v="Undergraduate"/>
    <s v="Spain"/>
    <n v="4.2"/>
    <x v="0"/>
    <s v="Yes"/>
    <n v="7.7"/>
    <n v="6"/>
    <s v="Single"/>
    <n v="3"/>
    <n v="7"/>
    <s v="Instagram"/>
    <n v="1"/>
    <s v="7.7"/>
    <s v="OK"/>
    <b v="1"/>
    <s v="High"/>
    <s v="7"/>
    <n v="4.5"/>
    <b v="1"/>
  </r>
  <r>
    <n v="422"/>
    <n v="21"/>
    <s v="Male"/>
    <s v="Graduate"/>
    <s v="Denmark"/>
    <n v="3"/>
    <x v="4"/>
    <s v="No"/>
    <n v="8.8000000000000007"/>
    <n v="8"/>
    <s v="In Relationship"/>
    <n v="2"/>
    <n v="4"/>
    <s v="Facebook"/>
    <n v="0"/>
    <s v="8.8"/>
    <s v="OK"/>
    <s v="medium"/>
    <s v="Low"/>
    <s v="4"/>
    <n v="4.5"/>
    <b v="1"/>
  </r>
  <r>
    <n v="423"/>
    <n v="20"/>
    <s v="Female"/>
    <s v="Undergraduate"/>
    <s v="Ireland"/>
    <n v="3.9"/>
    <x v="2"/>
    <s v="Yes"/>
    <n v="8"/>
    <n v="7"/>
    <s v="Single"/>
    <n v="3"/>
    <n v="6"/>
    <s v="Tiktok"/>
    <n v="2"/>
    <s v="8"/>
    <s v="OK"/>
    <s v="medium"/>
    <s v="Medium"/>
    <s v="6"/>
    <n v="4.5"/>
    <b v="1"/>
  </r>
  <r>
    <n v="424"/>
    <n v="22"/>
    <s v="Male"/>
    <s v="Graduate"/>
    <s v="India"/>
    <n v="6.8"/>
    <x v="10"/>
    <s v="Yes"/>
    <n v="5.5"/>
    <n v="5"/>
    <s v="In Relationship"/>
    <n v="4"/>
    <n v="8"/>
    <s v="Whatsapp"/>
    <n v="1"/>
    <s v="5.5"/>
    <s v="OK"/>
    <b v="1"/>
    <s v="High"/>
    <s v="8"/>
    <n v="4.5"/>
    <b v="1"/>
  </r>
  <r>
    <n v="425"/>
    <n v="19"/>
    <s v="Female"/>
    <s v="Undergraduate"/>
    <s v="Switzerland"/>
    <n v="2.9"/>
    <x v="0"/>
    <s v="No"/>
    <n v="8.9"/>
    <n v="8"/>
    <s v="Single"/>
    <n v="2"/>
    <n v="4"/>
    <s v="Instagram"/>
    <n v="1"/>
    <s v="8.9"/>
    <s v="OK"/>
    <s v="medium"/>
    <s v="Low"/>
    <s v="4"/>
    <n v="4.5"/>
    <b v="1"/>
  </r>
  <r>
    <n v="426"/>
    <n v="21"/>
    <s v="Male"/>
    <s v="Graduate"/>
    <s v="Turkey"/>
    <n v="4.5"/>
    <x v="0"/>
    <s v="Yes"/>
    <n v="7.7"/>
    <n v="6"/>
    <s v="Single"/>
    <n v="3"/>
    <n v="7"/>
    <s v="Instagram"/>
    <n v="1"/>
    <s v="7.7"/>
    <s v="OK"/>
    <b v="1"/>
    <s v="High"/>
    <s v="7"/>
    <n v="4.5"/>
    <b v="1"/>
  </r>
  <r>
    <n v="427"/>
    <n v="20"/>
    <s v="Female"/>
    <s v="Undergraduate"/>
    <s v="USA"/>
    <n v="7.8"/>
    <x v="2"/>
    <s v="Yes"/>
    <n v="4.5"/>
    <n v="5"/>
    <s v="In Relationship"/>
    <n v="4"/>
    <n v="9"/>
    <s v="Tiktok"/>
    <n v="2"/>
    <s v="4.5"/>
    <s v="LESS SLEEP"/>
    <b v="1"/>
    <s v="High"/>
    <s v="9"/>
    <n v="4.5"/>
    <b v="1"/>
  </r>
  <r>
    <n v="428"/>
    <n v="22"/>
    <s v="Male"/>
    <s v="Graduate"/>
    <s v="Mexico"/>
    <n v="6.6"/>
    <x v="10"/>
    <s v="Yes"/>
    <n v="5.6"/>
    <n v="6"/>
    <s v="Single"/>
    <n v="3"/>
    <n v="7"/>
    <s v="Whatsapp"/>
    <n v="1"/>
    <s v="5.6"/>
    <s v="OK"/>
    <b v="1"/>
    <s v="High"/>
    <s v="7"/>
    <n v="4.5"/>
    <b v="1"/>
  </r>
  <r>
    <n v="429"/>
    <n v="19"/>
    <s v="Female"/>
    <s v="Undergraduate"/>
    <s v="France"/>
    <n v="3.5"/>
    <x v="0"/>
    <s v="No"/>
    <n v="8.5"/>
    <n v="7"/>
    <s v="In Relationship"/>
    <n v="2"/>
    <n v="5"/>
    <s v="Instagram"/>
    <n v="1"/>
    <s v="8.5"/>
    <s v="OK"/>
    <s v="medium"/>
    <s v="Medium"/>
    <s v="5"/>
    <n v="4.5"/>
    <b v="1"/>
  </r>
  <r>
    <n v="430"/>
    <n v="21"/>
    <s v="Male"/>
    <s v="Graduate"/>
    <s v="Canada"/>
    <n v="4.3"/>
    <x v="0"/>
    <s v="Yes"/>
    <n v="7.9"/>
    <n v="6"/>
    <s v="Single"/>
    <n v="3"/>
    <n v="7"/>
    <s v="Instagram"/>
    <n v="1"/>
    <s v="7.9"/>
    <s v="OK"/>
    <b v="1"/>
    <s v="High"/>
    <s v="7"/>
    <n v="4.5"/>
    <b v="1"/>
  </r>
  <r>
    <n v="431"/>
    <n v="20"/>
    <s v="Female"/>
    <s v="Undergraduate"/>
    <s v="Spain"/>
    <n v="4.0999999999999996"/>
    <x v="2"/>
    <s v="Yes"/>
    <n v="7.8"/>
    <n v="6"/>
    <s v="Single"/>
    <n v="3"/>
    <n v="7"/>
    <s v="Tiktok"/>
    <n v="2"/>
    <s v="7.8"/>
    <s v="OK"/>
    <b v="1"/>
    <s v="High"/>
    <s v="7"/>
    <n v="4.5"/>
    <b v="1"/>
  </r>
  <r>
    <n v="432"/>
    <n v="22"/>
    <s v="Male"/>
    <s v="Graduate"/>
    <s v="Denmark"/>
    <n v="2.9"/>
    <x v="4"/>
    <s v="No"/>
    <n v="8.9"/>
    <n v="8"/>
    <s v="In Relationship"/>
    <n v="2"/>
    <n v="4"/>
    <s v="Facebook"/>
    <n v="0"/>
    <s v="8.9"/>
    <s v="OK"/>
    <s v="medium"/>
    <s v="Low"/>
    <s v="4"/>
    <n v="4.5"/>
    <b v="1"/>
  </r>
  <r>
    <n v="433"/>
    <n v="19"/>
    <s v="Female"/>
    <s v="Undergraduate"/>
    <s v="Ireland"/>
    <n v="3.8"/>
    <x v="0"/>
    <s v="Yes"/>
    <n v="8.1"/>
    <n v="7"/>
    <s v="Single"/>
    <n v="3"/>
    <n v="6"/>
    <s v="Instagram"/>
    <n v="1"/>
    <s v="8.1"/>
    <s v="OK"/>
    <s v="medium"/>
    <s v="Medium"/>
    <s v="6"/>
    <n v="4.5"/>
    <b v="1"/>
  </r>
  <r>
    <n v="434"/>
    <n v="21"/>
    <s v="Male"/>
    <s v="Graduate"/>
    <s v="India"/>
    <n v="6.9"/>
    <x v="10"/>
    <s v="Yes"/>
    <n v="5.4"/>
    <n v="5"/>
    <s v="In Relationship"/>
    <n v="4"/>
    <n v="8"/>
    <s v="Whatsapp"/>
    <n v="1"/>
    <s v="5.4"/>
    <s v="OK"/>
    <b v="1"/>
    <s v="High"/>
    <s v="8"/>
    <n v="4.5"/>
    <b v="1"/>
  </r>
  <r>
    <n v="435"/>
    <n v="20"/>
    <s v="Female"/>
    <s v="Undergraduate"/>
    <s v="Switzerland"/>
    <n v="2.8"/>
    <x v="0"/>
    <s v="No"/>
    <n v="9"/>
    <n v="8"/>
    <s v="Single"/>
    <n v="2"/>
    <n v="4"/>
    <s v="Instagram"/>
    <n v="1"/>
    <s v="9"/>
    <s v="OK"/>
    <s v="medium"/>
    <s v="Low"/>
    <s v="4"/>
    <n v="4.5"/>
    <b v="1"/>
  </r>
  <r>
    <n v="436"/>
    <n v="22"/>
    <s v="Male"/>
    <s v="Graduate"/>
    <s v="Turkey"/>
    <n v="4.4000000000000004"/>
    <x v="2"/>
    <s v="Yes"/>
    <n v="7.8"/>
    <n v="6"/>
    <s v="Single"/>
    <n v="3"/>
    <n v="7"/>
    <s v="Tiktok"/>
    <n v="2"/>
    <s v="7.8"/>
    <s v="OK"/>
    <b v="1"/>
    <s v="High"/>
    <s v="7"/>
    <n v="4.5"/>
    <b v="1"/>
  </r>
  <r>
    <n v="437"/>
    <n v="19"/>
    <s v="Female"/>
    <s v="Undergraduate"/>
    <s v="USA"/>
    <n v="7.9"/>
    <x v="0"/>
    <s v="Yes"/>
    <n v="4.4000000000000004"/>
    <n v="5"/>
    <s v="In Relationship"/>
    <n v="4"/>
    <n v="9"/>
    <s v="Instagram"/>
    <n v="1"/>
    <s v="4.4"/>
    <s v="LESS SLEEP"/>
    <b v="1"/>
    <s v="High"/>
    <s v="9"/>
    <n v="4.5"/>
    <b v="1"/>
  </r>
  <r>
    <n v="438"/>
    <n v="21"/>
    <s v="Male"/>
    <s v="Graduate"/>
    <s v="Mexico"/>
    <n v="6.7"/>
    <x v="10"/>
    <s v="Yes"/>
    <n v="5.5"/>
    <n v="6"/>
    <s v="Single"/>
    <n v="3"/>
    <n v="7"/>
    <s v="Whatsapp"/>
    <n v="1"/>
    <s v="5.5"/>
    <s v="OK"/>
    <b v="1"/>
    <s v="High"/>
    <s v="7"/>
    <n v="4.5"/>
    <b v="1"/>
  </r>
  <r>
    <n v="439"/>
    <n v="20"/>
    <s v="Female"/>
    <s v="Undergraduate"/>
    <s v="France"/>
    <n v="3.4"/>
    <x v="0"/>
    <s v="No"/>
    <n v="8.6"/>
    <n v="7"/>
    <s v="In Relationship"/>
    <n v="2"/>
    <n v="5"/>
    <s v="Instagram"/>
    <n v="1"/>
    <s v="8.6"/>
    <s v="OK"/>
    <s v="medium"/>
    <s v="Medium"/>
    <s v="5"/>
    <n v="4.5"/>
    <b v="1"/>
  </r>
  <r>
    <n v="440"/>
    <n v="22"/>
    <s v="Male"/>
    <s v="Graduate"/>
    <s v="Canada"/>
    <n v="4.2"/>
    <x v="2"/>
    <s v="Yes"/>
    <n v="8"/>
    <n v="6"/>
    <s v="Single"/>
    <n v="3"/>
    <n v="7"/>
    <s v="Tiktok"/>
    <n v="2"/>
    <s v="8"/>
    <s v="OK"/>
    <b v="1"/>
    <s v="High"/>
    <s v="7"/>
    <n v="4.5"/>
    <b v="1"/>
  </r>
  <r>
    <n v="441"/>
    <n v="19"/>
    <s v="Female"/>
    <s v="Undergraduate"/>
    <s v="Spain"/>
    <n v="4"/>
    <x v="0"/>
    <s v="Yes"/>
    <n v="7.9"/>
    <n v="6"/>
    <s v="Single"/>
    <n v="3"/>
    <n v="7"/>
    <s v="Instagram"/>
    <n v="1"/>
    <s v="7.9"/>
    <s v="OK"/>
    <b v="1"/>
    <s v="High"/>
    <s v="7"/>
    <n v="4.5"/>
    <b v="1"/>
  </r>
  <r>
    <n v="442"/>
    <n v="21"/>
    <s v="Male"/>
    <s v="Graduate"/>
    <s v="Denmark"/>
    <n v="2.8"/>
    <x v="4"/>
    <s v="No"/>
    <n v="9"/>
    <n v="8"/>
    <s v="In Relationship"/>
    <n v="2"/>
    <n v="4"/>
    <s v="Facebook"/>
    <n v="0"/>
    <s v="9"/>
    <s v="OK"/>
    <s v="medium"/>
    <s v="Low"/>
    <s v="4"/>
    <n v="4.5"/>
    <b v="1"/>
  </r>
  <r>
    <n v="443"/>
    <n v="20"/>
    <s v="Female"/>
    <s v="Undergraduate"/>
    <s v="Ireland"/>
    <n v="3.7"/>
    <x v="2"/>
    <s v="Yes"/>
    <n v="8.1999999999999993"/>
    <n v="7"/>
    <s v="Single"/>
    <n v="3"/>
    <n v="6"/>
    <s v="Tiktok"/>
    <n v="2"/>
    <s v="8.2"/>
    <s v="OK"/>
    <s v="medium"/>
    <s v="Medium"/>
    <s v="6"/>
    <n v="4.5"/>
    <b v="1"/>
  </r>
  <r>
    <n v="444"/>
    <n v="22"/>
    <s v="Male"/>
    <s v="Graduate"/>
    <s v="India"/>
    <n v="7"/>
    <x v="10"/>
    <s v="Yes"/>
    <n v="5.3"/>
    <n v="5"/>
    <s v="In Relationship"/>
    <n v="4"/>
    <n v="8"/>
    <s v="Whatsapp"/>
    <n v="1"/>
    <s v="5.3"/>
    <s v="OK"/>
    <b v="1"/>
    <s v="High"/>
    <s v="8"/>
    <n v="4.5"/>
    <b v="1"/>
  </r>
  <r>
    <n v="445"/>
    <n v="19"/>
    <s v="Female"/>
    <s v="Undergraduate"/>
    <s v="Switzerland"/>
    <n v="2.7"/>
    <x v="0"/>
    <s v="No"/>
    <n v="9.1"/>
    <n v="8"/>
    <s v="Single"/>
    <n v="2"/>
    <n v="4"/>
    <s v="Instagram"/>
    <n v="1"/>
    <s v="9.1"/>
    <s v="OK"/>
    <s v="medium"/>
    <s v="Low"/>
    <s v="4"/>
    <n v="4.5"/>
    <b v="1"/>
  </r>
  <r>
    <n v="446"/>
    <n v="21"/>
    <s v="Male"/>
    <s v="Graduate"/>
    <s v="Turkey"/>
    <n v="4.3"/>
    <x v="0"/>
    <s v="Yes"/>
    <n v="7.9"/>
    <n v="6"/>
    <s v="Single"/>
    <n v="3"/>
    <n v="7"/>
    <s v="Instagram"/>
    <n v="1"/>
    <s v="7.9"/>
    <s v="OK"/>
    <b v="1"/>
    <s v="High"/>
    <s v="7"/>
    <n v="4.5"/>
    <b v="1"/>
  </r>
  <r>
    <n v="447"/>
    <n v="20"/>
    <s v="Female"/>
    <s v="Undergraduate"/>
    <s v="USA"/>
    <n v="8"/>
    <x v="2"/>
    <s v="Yes"/>
    <n v="4.3"/>
    <n v="5"/>
    <s v="In Relationship"/>
    <n v="4"/>
    <n v="9"/>
    <s v="Tiktok"/>
    <n v="2"/>
    <s v="4.3"/>
    <s v="LESS SLEEP"/>
    <b v="1"/>
    <s v="High"/>
    <s v="9"/>
    <n v="4.4000000000000004"/>
    <b v="1"/>
  </r>
  <r>
    <n v="448"/>
    <n v="22"/>
    <s v="Male"/>
    <s v="Graduate"/>
    <s v="Mexico"/>
    <n v="6.8"/>
    <x v="10"/>
    <s v="Yes"/>
    <n v="5.4"/>
    <n v="6"/>
    <s v="Single"/>
    <n v="3"/>
    <n v="7"/>
    <s v="Whatsapp"/>
    <n v="1"/>
    <s v="5.4"/>
    <s v="OK"/>
    <b v="1"/>
    <s v="High"/>
    <s v="7"/>
    <n v="4.4000000000000004"/>
    <b v="1"/>
  </r>
  <r>
    <n v="449"/>
    <n v="19"/>
    <s v="Female"/>
    <s v="Undergraduate"/>
    <s v="France"/>
    <n v="3.3"/>
    <x v="0"/>
    <s v="No"/>
    <n v="8.6999999999999993"/>
    <n v="7"/>
    <s v="In Relationship"/>
    <n v="2"/>
    <n v="5"/>
    <s v="Instagram"/>
    <n v="1"/>
    <s v="8.7"/>
    <s v="OK"/>
    <s v="medium"/>
    <s v="Medium"/>
    <s v="5"/>
    <n v="4.4000000000000004"/>
    <b v="1"/>
  </r>
  <r>
    <n v="450"/>
    <n v="21"/>
    <s v="Male"/>
    <s v="Graduate"/>
    <s v="Canada"/>
    <n v="4.0999999999999996"/>
    <x v="0"/>
    <s v="Yes"/>
    <n v="8.1"/>
    <n v="6"/>
    <s v="Single"/>
    <n v="3"/>
    <n v="7"/>
    <s v="Instagram"/>
    <n v="1"/>
    <s v="8.1"/>
    <s v="OK"/>
    <b v="1"/>
    <s v="High"/>
    <s v="7"/>
    <n v="4.4000000000000004"/>
    <b v="1"/>
  </r>
  <r>
    <n v="451"/>
    <n v="20"/>
    <s v="Female"/>
    <s v="Undergraduate"/>
    <s v="Spain"/>
    <n v="3.9"/>
    <x v="2"/>
    <s v="Yes"/>
    <n v="8"/>
    <n v="6"/>
    <s v="Single"/>
    <n v="3"/>
    <n v="7"/>
    <s v="Tiktok"/>
    <n v="2"/>
    <s v="8"/>
    <s v="OK"/>
    <b v="1"/>
    <s v="High"/>
    <s v="7"/>
    <n v="4.4000000000000004"/>
    <b v="1"/>
  </r>
  <r>
    <n v="452"/>
    <n v="22"/>
    <s v="Male"/>
    <s v="Graduate"/>
    <s v="Denmark"/>
    <n v="2.7"/>
    <x v="4"/>
    <s v="No"/>
    <n v="9.1"/>
    <n v="8"/>
    <s v="In Relationship"/>
    <n v="2"/>
    <n v="4"/>
    <s v="Facebook"/>
    <n v="0"/>
    <s v="9.1"/>
    <s v="OK"/>
    <s v="medium"/>
    <s v="Low"/>
    <s v="4"/>
    <n v="4.4000000000000004"/>
    <b v="1"/>
  </r>
  <r>
    <n v="453"/>
    <n v="19"/>
    <s v="Female"/>
    <s v="Undergraduate"/>
    <s v="Ireland"/>
    <n v="3.6"/>
    <x v="0"/>
    <s v="Yes"/>
    <n v="8.3000000000000007"/>
    <n v="7"/>
    <s v="Single"/>
    <n v="3"/>
    <n v="6"/>
    <s v="Instagram"/>
    <n v="1"/>
    <s v="8.3"/>
    <s v="OK"/>
    <s v="medium"/>
    <s v="Medium"/>
    <s v="6"/>
    <n v="4.4000000000000004"/>
    <b v="1"/>
  </r>
  <r>
    <n v="454"/>
    <n v="21"/>
    <s v="Male"/>
    <s v="Graduate"/>
    <s v="India"/>
    <n v="7.1"/>
    <x v="10"/>
    <s v="Yes"/>
    <n v="5.2"/>
    <n v="5"/>
    <s v="In Relationship"/>
    <n v="4"/>
    <n v="8"/>
    <s v="Whatsapp"/>
    <n v="1"/>
    <s v="5.2"/>
    <s v="OK"/>
    <b v="1"/>
    <s v="High"/>
    <s v="8"/>
    <n v="4.4000000000000004"/>
    <b v="1"/>
  </r>
  <r>
    <n v="455"/>
    <n v="20"/>
    <s v="Female"/>
    <s v="Undergraduate"/>
    <s v="Switzerland"/>
    <n v="2.6"/>
    <x v="0"/>
    <s v="No"/>
    <n v="9.1999999999999993"/>
    <n v="8"/>
    <s v="Single"/>
    <n v="2"/>
    <n v="4"/>
    <s v="Instagram"/>
    <n v="1"/>
    <s v="9.2"/>
    <s v="OK"/>
    <s v="medium"/>
    <s v="Low"/>
    <s v="4"/>
    <n v="4.4000000000000004"/>
    <b v="1"/>
  </r>
  <r>
    <n v="456"/>
    <n v="22"/>
    <s v="Male"/>
    <s v="Graduate"/>
    <s v="Turkey"/>
    <n v="4.2"/>
    <x v="2"/>
    <s v="Yes"/>
    <n v="8"/>
    <n v="6"/>
    <s v="Single"/>
    <n v="3"/>
    <n v="7"/>
    <s v="Tiktok"/>
    <n v="2"/>
    <s v="8"/>
    <s v="OK"/>
    <b v="1"/>
    <s v="High"/>
    <s v="7"/>
    <n v="4.4000000000000004"/>
    <b v="1"/>
  </r>
  <r>
    <n v="457"/>
    <n v="19"/>
    <s v="Female"/>
    <s v="Undergraduate"/>
    <s v="USA"/>
    <n v="8.1"/>
    <x v="0"/>
    <s v="Yes"/>
    <n v="4.2"/>
    <n v="5"/>
    <s v="In Relationship"/>
    <n v="4"/>
    <n v="9"/>
    <s v="Instagram"/>
    <n v="1"/>
    <s v="4.2"/>
    <s v="LESS SLEEP"/>
    <b v="1"/>
    <s v="High"/>
    <s v="9"/>
    <n v="4.4000000000000004"/>
    <b v="1"/>
  </r>
  <r>
    <n v="458"/>
    <n v="21"/>
    <s v="Male"/>
    <s v="Graduate"/>
    <s v="Mexico"/>
    <n v="6.9"/>
    <x v="10"/>
    <s v="Yes"/>
    <n v="5.3"/>
    <n v="6"/>
    <s v="Single"/>
    <n v="3"/>
    <n v="7"/>
    <s v="Whatsapp"/>
    <n v="1"/>
    <s v="5.3"/>
    <s v="OK"/>
    <b v="1"/>
    <s v="High"/>
    <s v="7"/>
    <n v="4.4000000000000004"/>
    <b v="1"/>
  </r>
  <r>
    <n v="459"/>
    <n v="20"/>
    <s v="Female"/>
    <s v="Undergraduate"/>
    <s v="France"/>
    <n v="3.2"/>
    <x v="0"/>
    <s v="No"/>
    <n v="8.8000000000000007"/>
    <n v="7"/>
    <s v="In Relationship"/>
    <n v="2"/>
    <n v="5"/>
    <s v="Instagram"/>
    <n v="1"/>
    <s v="8.8"/>
    <s v="OK"/>
    <s v="medium"/>
    <s v="Medium"/>
    <s v="5"/>
    <n v="4.4000000000000004"/>
    <b v="1"/>
  </r>
  <r>
    <n v="460"/>
    <n v="22"/>
    <s v="Male"/>
    <s v="Graduate"/>
    <s v="Canada"/>
    <n v="4"/>
    <x v="2"/>
    <s v="Yes"/>
    <n v="8.1999999999999993"/>
    <n v="6"/>
    <s v="Single"/>
    <n v="3"/>
    <n v="7"/>
    <s v="Tiktok"/>
    <n v="2"/>
    <s v="8.2"/>
    <s v="OK"/>
    <b v="1"/>
    <s v="High"/>
    <s v="7"/>
    <n v="4.4000000000000004"/>
    <b v="1"/>
  </r>
  <r>
    <n v="461"/>
    <n v="19"/>
    <s v="Female"/>
    <s v="Undergraduate"/>
    <s v="Spain"/>
    <n v="3.8"/>
    <x v="0"/>
    <s v="Yes"/>
    <n v="8.1"/>
    <n v="6"/>
    <s v="Single"/>
    <n v="3"/>
    <n v="7"/>
    <s v="Instagram"/>
    <n v="1"/>
    <s v="8.1"/>
    <s v="OK"/>
    <b v="1"/>
    <s v="High"/>
    <s v="7"/>
    <n v="4.4000000000000004"/>
    <b v="1"/>
  </r>
  <r>
    <n v="462"/>
    <n v="21"/>
    <s v="Male"/>
    <s v="Graduate"/>
    <s v="Denmark"/>
    <n v="2.6"/>
    <x v="4"/>
    <s v="No"/>
    <n v="9.1999999999999993"/>
    <n v="8"/>
    <s v="In Relationship"/>
    <n v="2"/>
    <n v="4"/>
    <s v="Facebook"/>
    <n v="0"/>
    <s v="9.2"/>
    <s v="OK"/>
    <s v="medium"/>
    <s v="Low"/>
    <s v="4"/>
    <n v="4.4000000000000004"/>
    <b v="1"/>
  </r>
  <r>
    <n v="463"/>
    <n v="20"/>
    <s v="Female"/>
    <s v="Undergraduate"/>
    <s v="Ireland"/>
    <n v="3.5"/>
    <x v="2"/>
    <s v="Yes"/>
    <n v="8.4"/>
    <n v="7"/>
    <s v="Single"/>
    <n v="3"/>
    <n v="6"/>
    <s v="Tiktok"/>
    <n v="2"/>
    <s v="8.4"/>
    <s v="OK"/>
    <s v="medium"/>
    <s v="Medium"/>
    <s v="6"/>
    <n v="4.4000000000000004"/>
    <b v="1"/>
  </r>
  <r>
    <n v="464"/>
    <n v="22"/>
    <s v="Male"/>
    <s v="Graduate"/>
    <s v="India"/>
    <n v="7.2"/>
    <x v="10"/>
    <s v="Yes"/>
    <n v="5.0999999999999996"/>
    <n v="5"/>
    <s v="In Relationship"/>
    <n v="4"/>
    <n v="8"/>
    <s v="Whatsapp"/>
    <n v="1"/>
    <s v="5.1"/>
    <s v="OK"/>
    <b v="1"/>
    <s v="High"/>
    <s v="8"/>
    <n v="4.4000000000000004"/>
    <b v="1"/>
  </r>
  <r>
    <n v="465"/>
    <n v="19"/>
    <s v="Female"/>
    <s v="Undergraduate"/>
    <s v="Switzerland"/>
    <n v="2.5"/>
    <x v="0"/>
    <s v="No"/>
    <n v="9.3000000000000007"/>
    <n v="8"/>
    <s v="Single"/>
    <n v="2"/>
    <n v="4"/>
    <s v="Instagram"/>
    <n v="1"/>
    <s v="9.3"/>
    <s v="OK"/>
    <s v="medium"/>
    <s v="Low"/>
    <s v="4"/>
    <n v="4.4000000000000004"/>
    <b v="1"/>
  </r>
  <r>
    <n v="466"/>
    <n v="21"/>
    <s v="Male"/>
    <s v="Graduate"/>
    <s v="Turkey"/>
    <n v="4.0999999999999996"/>
    <x v="0"/>
    <s v="Yes"/>
    <n v="8.1"/>
    <n v="6"/>
    <s v="Single"/>
    <n v="3"/>
    <n v="7"/>
    <s v="Instagram"/>
    <n v="1"/>
    <s v="8.1"/>
    <s v="OK"/>
    <b v="1"/>
    <s v="High"/>
    <s v="7"/>
    <n v="4.4000000000000004"/>
    <b v="1"/>
  </r>
  <r>
    <n v="467"/>
    <n v="20"/>
    <s v="Female"/>
    <s v="Undergraduate"/>
    <s v="USA"/>
    <n v="8.1999999999999993"/>
    <x v="2"/>
    <s v="Yes"/>
    <n v="4.0999999999999996"/>
    <n v="5"/>
    <s v="In Relationship"/>
    <n v="4"/>
    <n v="9"/>
    <s v="Tiktok"/>
    <n v="2"/>
    <s v="4.1"/>
    <s v="LESS SLEEP"/>
    <b v="1"/>
    <s v="High"/>
    <s v="9"/>
    <n v="4.4000000000000004"/>
    <b v="1"/>
  </r>
  <r>
    <n v="468"/>
    <n v="22"/>
    <s v="Male"/>
    <s v="Graduate"/>
    <s v="Mexico"/>
    <n v="7"/>
    <x v="10"/>
    <s v="Yes"/>
    <n v="5.2"/>
    <n v="6"/>
    <s v="Single"/>
    <n v="3"/>
    <n v="7"/>
    <s v="Whatsapp"/>
    <n v="1"/>
    <s v="5.2"/>
    <s v="OK"/>
    <b v="1"/>
    <s v="High"/>
    <s v="7"/>
    <n v="4.4000000000000004"/>
    <b v="1"/>
  </r>
  <r>
    <n v="469"/>
    <n v="19"/>
    <s v="Female"/>
    <s v="Undergraduate"/>
    <s v="France"/>
    <n v="3.1"/>
    <x v="0"/>
    <s v="No"/>
    <n v="8.9"/>
    <n v="7"/>
    <s v="In Relationship"/>
    <n v="2"/>
    <n v="5"/>
    <s v="Instagram"/>
    <n v="1"/>
    <s v="8.9"/>
    <s v="OK"/>
    <s v="medium"/>
    <s v="Medium"/>
    <s v="5"/>
    <n v="4.4000000000000004"/>
    <b v="1"/>
  </r>
  <r>
    <n v="470"/>
    <n v="21"/>
    <s v="Male"/>
    <s v="Graduate"/>
    <s v="Canada"/>
    <n v="3.9"/>
    <x v="0"/>
    <s v="Yes"/>
    <n v="8.3000000000000007"/>
    <n v="6"/>
    <s v="Single"/>
    <n v="3"/>
    <n v="7"/>
    <s v="Instagram"/>
    <n v="1"/>
    <s v="8.3"/>
    <s v="OK"/>
    <b v="1"/>
    <s v="High"/>
    <s v="7"/>
    <n v="4.4000000000000004"/>
    <b v="1"/>
  </r>
  <r>
    <n v="471"/>
    <n v="20"/>
    <s v="Female"/>
    <s v="Undergraduate"/>
    <s v="Spain"/>
    <n v="3.7"/>
    <x v="2"/>
    <s v="Yes"/>
    <n v="8.1999999999999993"/>
    <n v="6"/>
    <s v="Single"/>
    <n v="3"/>
    <n v="7"/>
    <s v="Tiktok"/>
    <n v="2"/>
    <s v="8.2"/>
    <s v="OK"/>
    <b v="1"/>
    <s v="High"/>
    <s v="7"/>
    <n v="4.4000000000000004"/>
    <b v="1"/>
  </r>
  <r>
    <n v="472"/>
    <n v="22"/>
    <s v="Male"/>
    <s v="Graduate"/>
    <s v="Denmark"/>
    <n v="2.5"/>
    <x v="4"/>
    <s v="No"/>
    <n v="9.3000000000000007"/>
    <n v="8"/>
    <s v="In Relationship"/>
    <n v="2"/>
    <n v="4"/>
    <s v="Facebook"/>
    <n v="0"/>
    <s v="9.3"/>
    <s v="OK"/>
    <s v="medium"/>
    <s v="Low"/>
    <s v="4"/>
    <n v="4.4000000000000004"/>
    <b v="1"/>
  </r>
  <r>
    <n v="473"/>
    <n v="19"/>
    <s v="Female"/>
    <s v="Undergraduate"/>
    <s v="Ireland"/>
    <n v="3.4"/>
    <x v="0"/>
    <s v="Yes"/>
    <n v="8.5"/>
    <n v="7"/>
    <s v="Single"/>
    <n v="3"/>
    <n v="6"/>
    <s v="Instagram"/>
    <n v="1"/>
    <s v="8.5"/>
    <s v="OK"/>
    <s v="medium"/>
    <s v="Medium"/>
    <s v="6"/>
    <n v="4.4000000000000004"/>
    <b v="1"/>
  </r>
  <r>
    <n v="474"/>
    <n v="21"/>
    <s v="Male"/>
    <s v="Graduate"/>
    <s v="India"/>
    <n v="7.3"/>
    <x v="10"/>
    <s v="Yes"/>
    <n v="5"/>
    <n v="5"/>
    <s v="In Relationship"/>
    <n v="4"/>
    <n v="8"/>
    <s v="Whatsapp"/>
    <n v="1"/>
    <s v="5"/>
    <s v="OK"/>
    <b v="1"/>
    <s v="High"/>
    <s v="8"/>
    <n v="4.3"/>
    <b v="1"/>
  </r>
  <r>
    <n v="475"/>
    <n v="20"/>
    <s v="Female"/>
    <s v="Undergraduate"/>
    <s v="Switzerland"/>
    <n v="2.4"/>
    <x v="0"/>
    <s v="No"/>
    <n v="9.4"/>
    <n v="8"/>
    <s v="Single"/>
    <n v="2"/>
    <n v="4"/>
    <s v="Instagram"/>
    <n v="1"/>
    <s v="9.4"/>
    <s v="OK"/>
    <s v="medium"/>
    <s v="Low"/>
    <s v="4"/>
    <n v="4.3"/>
    <b v="1"/>
  </r>
  <r>
    <n v="476"/>
    <n v="22"/>
    <s v="Male"/>
    <s v="Graduate"/>
    <s v="Turkey"/>
    <n v="4"/>
    <x v="2"/>
    <s v="Yes"/>
    <n v="8.1999999999999993"/>
    <n v="6"/>
    <s v="Single"/>
    <n v="3"/>
    <n v="7"/>
    <s v="Tiktok"/>
    <n v="2"/>
    <s v="8.2"/>
    <s v="OK"/>
    <b v="1"/>
    <s v="High"/>
    <s v="7"/>
    <n v="4.3"/>
    <b v="1"/>
  </r>
  <r>
    <n v="477"/>
    <n v="19"/>
    <s v="Female"/>
    <s v="Undergraduate"/>
    <s v="USA"/>
    <n v="8.3000000000000007"/>
    <x v="0"/>
    <s v="Yes"/>
    <n v="4"/>
    <n v="5"/>
    <s v="In Relationship"/>
    <n v="4"/>
    <n v="9"/>
    <s v="Instagram"/>
    <n v="1"/>
    <s v="4"/>
    <s v="LESS SLEEP"/>
    <b v="1"/>
    <s v="High"/>
    <s v="9"/>
    <n v="4.3"/>
    <b v="1"/>
  </r>
  <r>
    <n v="478"/>
    <n v="21"/>
    <s v="Male"/>
    <s v="Graduate"/>
    <s v="Mexico"/>
    <n v="7.1"/>
    <x v="10"/>
    <s v="Yes"/>
    <n v="5.0999999999999996"/>
    <n v="6"/>
    <s v="Single"/>
    <n v="3"/>
    <n v="7"/>
    <s v="Whatsapp"/>
    <n v="1"/>
    <s v="5.1"/>
    <s v="OK"/>
    <b v="1"/>
    <s v="High"/>
    <s v="7"/>
    <n v="4.3"/>
    <b v="1"/>
  </r>
  <r>
    <n v="479"/>
    <n v="20"/>
    <s v="Female"/>
    <s v="Undergraduate"/>
    <s v="France"/>
    <n v="3"/>
    <x v="0"/>
    <s v="No"/>
    <n v="9"/>
    <n v="7"/>
    <s v="In Relationship"/>
    <n v="2"/>
    <n v="5"/>
    <s v="Instagram"/>
    <n v="1"/>
    <s v="9"/>
    <s v="OK"/>
    <s v="medium"/>
    <s v="Medium"/>
    <s v="5"/>
    <n v="4.3"/>
    <b v="1"/>
  </r>
  <r>
    <n v="480"/>
    <n v="22"/>
    <s v="Male"/>
    <s v="Graduate"/>
    <s v="Canada"/>
    <n v="3.8"/>
    <x v="2"/>
    <s v="Yes"/>
    <n v="8.4"/>
    <n v="6"/>
    <s v="Single"/>
    <n v="3"/>
    <n v="7"/>
    <s v="Tiktok"/>
    <n v="2"/>
    <s v="8.4"/>
    <s v="OK"/>
    <b v="1"/>
    <s v="High"/>
    <s v="7"/>
    <n v="4.3"/>
    <b v="1"/>
  </r>
  <r>
    <n v="481"/>
    <n v="19"/>
    <s v="Female"/>
    <s v="Undergraduate"/>
    <s v="Spain"/>
    <n v="3.6"/>
    <x v="0"/>
    <s v="Yes"/>
    <n v="8.3000000000000007"/>
    <n v="6"/>
    <s v="Single"/>
    <n v="3"/>
    <n v="7"/>
    <s v="Instagram"/>
    <n v="1"/>
    <s v="8.3"/>
    <s v="OK"/>
    <b v="1"/>
    <s v="High"/>
    <s v="7"/>
    <n v="4.3"/>
    <b v="1"/>
  </r>
  <r>
    <n v="482"/>
    <n v="21"/>
    <s v="Male"/>
    <s v="Graduate"/>
    <s v="Denmark"/>
    <n v="2.4"/>
    <x v="4"/>
    <s v="No"/>
    <n v="9.4"/>
    <n v="8"/>
    <s v="In Relationship"/>
    <n v="2"/>
    <n v="4"/>
    <s v="Facebook"/>
    <n v="0"/>
    <s v="9.4"/>
    <s v="OK"/>
    <s v="medium"/>
    <s v="Low"/>
    <s v="4"/>
    <n v="4.3"/>
    <b v="1"/>
  </r>
  <r>
    <n v="483"/>
    <n v="20"/>
    <s v="Female"/>
    <s v="Undergraduate"/>
    <s v="Ireland"/>
    <n v="3.3"/>
    <x v="2"/>
    <s v="Yes"/>
    <n v="8.6"/>
    <n v="7"/>
    <s v="Single"/>
    <n v="3"/>
    <n v="6"/>
    <s v="Tiktok"/>
    <n v="2"/>
    <s v="8.6"/>
    <s v="OK"/>
    <s v="medium"/>
    <s v="Medium"/>
    <s v="6"/>
    <n v="4.3"/>
    <b v="1"/>
  </r>
  <r>
    <n v="484"/>
    <n v="22"/>
    <s v="Male"/>
    <s v="Graduate"/>
    <s v="India"/>
    <n v="7.4"/>
    <x v="10"/>
    <s v="Yes"/>
    <n v="4.9000000000000004"/>
    <n v="5"/>
    <s v="In Relationship"/>
    <n v="4"/>
    <n v="8"/>
    <s v="Whatsapp"/>
    <n v="1"/>
    <s v="4.9"/>
    <s v="LESS SLEEP"/>
    <b v="1"/>
    <s v="High"/>
    <s v="8"/>
    <n v="4.3"/>
    <b v="1"/>
  </r>
  <r>
    <n v="485"/>
    <n v="19"/>
    <s v="Female"/>
    <s v="Undergraduate"/>
    <s v="Switzerland"/>
    <n v="2.2999999999999998"/>
    <x v="0"/>
    <s v="No"/>
    <n v="9.5"/>
    <n v="8"/>
    <s v="Single"/>
    <n v="2"/>
    <n v="4"/>
    <s v="Instagram"/>
    <n v="1"/>
    <s v="9.5"/>
    <s v="OK"/>
    <s v="medium"/>
    <s v="Low"/>
    <s v="4"/>
    <n v="4.3"/>
    <b v="1"/>
  </r>
  <r>
    <n v="486"/>
    <n v="21"/>
    <s v="Male"/>
    <s v="Graduate"/>
    <s v="Turkey"/>
    <n v="3.9"/>
    <x v="0"/>
    <s v="Yes"/>
    <n v="8.3000000000000007"/>
    <n v="6"/>
    <s v="Single"/>
    <n v="3"/>
    <n v="7"/>
    <s v="Instagram"/>
    <n v="1"/>
    <s v="8.3"/>
    <s v="OK"/>
    <b v="1"/>
    <s v="High"/>
    <s v="7"/>
    <n v="4.3"/>
    <b v="1"/>
  </r>
  <r>
    <n v="487"/>
    <n v="20"/>
    <s v="Female"/>
    <s v="Undergraduate"/>
    <s v="USA"/>
    <n v="8.4"/>
    <x v="2"/>
    <s v="Yes"/>
    <n v="3.9"/>
    <n v="5"/>
    <s v="In Relationship"/>
    <n v="4"/>
    <n v="9"/>
    <s v="Tiktok"/>
    <n v="2"/>
    <s v="3.9"/>
    <s v="LESS SLEEP"/>
    <b v="1"/>
    <s v="High"/>
    <s v="9"/>
    <n v="4.3"/>
    <b v="1"/>
  </r>
  <r>
    <n v="488"/>
    <n v="22"/>
    <s v="Male"/>
    <s v="Graduate"/>
    <s v="Mexico"/>
    <n v="7.2"/>
    <x v="10"/>
    <s v="Yes"/>
    <n v="5"/>
    <n v="6"/>
    <s v="Single"/>
    <n v="3"/>
    <n v="7"/>
    <s v="Whatsapp"/>
    <n v="1"/>
    <s v="5"/>
    <s v="OK"/>
    <b v="1"/>
    <s v="High"/>
    <s v="7"/>
    <n v="4.3"/>
    <b v="1"/>
  </r>
  <r>
    <n v="489"/>
    <n v="19"/>
    <s v="Female"/>
    <s v="Undergraduate"/>
    <s v="France"/>
    <n v="2.9"/>
    <x v="0"/>
    <s v="No"/>
    <n v="9.1"/>
    <n v="7"/>
    <s v="In Relationship"/>
    <n v="2"/>
    <n v="5"/>
    <s v="Instagram"/>
    <n v="1"/>
    <s v="9.1"/>
    <s v="OK"/>
    <s v="medium"/>
    <s v="Medium"/>
    <s v="5"/>
    <n v="4.3"/>
    <b v="1"/>
  </r>
  <r>
    <n v="490"/>
    <n v="21"/>
    <s v="Male"/>
    <s v="Graduate"/>
    <s v="Canada"/>
    <n v="3.7"/>
    <x v="0"/>
    <s v="Yes"/>
    <n v="8.5"/>
    <n v="6"/>
    <s v="Single"/>
    <n v="3"/>
    <n v="7"/>
    <s v="Instagram"/>
    <n v="1"/>
    <s v="8.5"/>
    <s v="OK"/>
    <b v="1"/>
    <s v="High"/>
    <s v="7"/>
    <n v="4.3"/>
    <b v="1"/>
  </r>
  <r>
    <n v="491"/>
    <n v="20"/>
    <s v="Female"/>
    <s v="Undergraduate"/>
    <s v="Spain"/>
    <n v="3.5"/>
    <x v="2"/>
    <s v="Yes"/>
    <n v="8.4"/>
    <n v="6"/>
    <s v="Single"/>
    <n v="3"/>
    <n v="7"/>
    <s v="Tiktok"/>
    <n v="2"/>
    <s v="8.4"/>
    <s v="OK"/>
    <b v="1"/>
    <s v="High"/>
    <s v="7"/>
    <n v="4.3"/>
    <b v="1"/>
  </r>
  <r>
    <n v="492"/>
    <n v="22"/>
    <s v="Male"/>
    <s v="Graduate"/>
    <s v="Denmark"/>
    <n v="2.2999999999999998"/>
    <x v="4"/>
    <s v="No"/>
    <n v="9.5"/>
    <n v="8"/>
    <s v="In Relationship"/>
    <n v="2"/>
    <n v="4"/>
    <s v="Facebook"/>
    <n v="0"/>
    <s v="9.5"/>
    <s v="OK"/>
    <s v="medium"/>
    <s v="Low"/>
    <s v="4"/>
    <n v="4.3"/>
    <b v="1"/>
  </r>
  <r>
    <n v="493"/>
    <n v="19"/>
    <s v="Female"/>
    <s v="Undergraduate"/>
    <s v="Ireland"/>
    <n v="3.2"/>
    <x v="0"/>
    <s v="Yes"/>
    <n v="8.6999999999999993"/>
    <n v="7"/>
    <s v="Single"/>
    <n v="3"/>
    <n v="6"/>
    <s v="Instagram"/>
    <n v="1"/>
    <s v="8.7"/>
    <s v="OK"/>
    <s v="medium"/>
    <s v="Medium"/>
    <s v="6"/>
    <n v="4.3"/>
    <b v="1"/>
  </r>
  <r>
    <n v="494"/>
    <n v="21"/>
    <s v="Male"/>
    <s v="Graduate"/>
    <s v="India"/>
    <n v="7.5"/>
    <x v="10"/>
    <s v="Yes"/>
    <n v="4.8"/>
    <n v="5"/>
    <s v="In Relationship"/>
    <n v="4"/>
    <n v="8"/>
    <s v="Whatsapp"/>
    <n v="1"/>
    <s v="4.8"/>
    <s v="LESS SLEEP"/>
    <b v="1"/>
    <s v="High"/>
    <s v="8"/>
    <n v="4.3"/>
    <b v="1"/>
  </r>
  <r>
    <n v="495"/>
    <n v="20"/>
    <s v="Female"/>
    <s v="Undergraduate"/>
    <s v="Switzerland"/>
    <n v="2.2000000000000002"/>
    <x v="0"/>
    <s v="No"/>
    <n v="9.6"/>
    <n v="8"/>
    <s v="Single"/>
    <n v="2"/>
    <n v="4"/>
    <s v="Instagram"/>
    <n v="1"/>
    <s v="9.6"/>
    <s v="OK"/>
    <s v="medium"/>
    <s v="Low"/>
    <s v="4"/>
    <n v="4.3"/>
    <b v="1"/>
  </r>
  <r>
    <n v="496"/>
    <n v="22"/>
    <s v="Male"/>
    <s v="Graduate"/>
    <s v="Turkey"/>
    <n v="3.8"/>
    <x v="2"/>
    <s v="Yes"/>
    <n v="8.4"/>
    <n v="6"/>
    <s v="Single"/>
    <n v="3"/>
    <n v="7"/>
    <s v="Tiktok"/>
    <n v="2"/>
    <s v="8.4"/>
    <s v="OK"/>
    <b v="1"/>
    <s v="High"/>
    <s v="7"/>
    <n v="4.3"/>
    <b v="1"/>
  </r>
  <r>
    <n v="497"/>
    <n v="19"/>
    <s v="Female"/>
    <s v="Undergraduate"/>
    <s v="USA"/>
    <n v="8.5"/>
    <x v="0"/>
    <s v="Yes"/>
    <n v="3.8"/>
    <n v="5"/>
    <s v="In Relationship"/>
    <n v="4"/>
    <n v="9"/>
    <s v="Instagram"/>
    <n v="1"/>
    <s v="3.8"/>
    <s v="LESS SLEEP"/>
    <b v="1"/>
    <s v="High"/>
    <s v="9"/>
    <n v="4.2"/>
    <b v="1"/>
  </r>
  <r>
    <n v="498"/>
    <n v="21"/>
    <s v="Male"/>
    <s v="Graduate"/>
    <s v="Mexico"/>
    <n v="7.3"/>
    <x v="10"/>
    <s v="Yes"/>
    <n v="4.9000000000000004"/>
    <n v="6"/>
    <s v="Single"/>
    <n v="3"/>
    <n v="7"/>
    <s v="Whatsapp"/>
    <n v="1"/>
    <s v="4.9"/>
    <s v="LESS SLEEP"/>
    <b v="1"/>
    <s v="High"/>
    <s v="7"/>
    <n v="4.2"/>
    <b v="1"/>
  </r>
  <r>
    <n v="499"/>
    <n v="20"/>
    <s v="Female"/>
    <s v="Undergraduate"/>
    <s v="France"/>
    <n v="2.8"/>
    <x v="0"/>
    <s v="No"/>
    <n v="9.1999999999999993"/>
    <n v="7"/>
    <s v="In Relationship"/>
    <n v="2"/>
    <n v="5"/>
    <s v="Instagram"/>
    <n v="1"/>
    <s v="9.2"/>
    <s v="OK"/>
    <s v="medium"/>
    <s v="Medium"/>
    <s v="5"/>
    <n v="4.2"/>
    <b v="1"/>
  </r>
  <r>
    <n v="500"/>
    <n v="22"/>
    <s v="Male"/>
    <s v="Graduate"/>
    <s v="Canada"/>
    <n v="3.6"/>
    <x v="2"/>
    <s v="Yes"/>
    <n v="8.6"/>
    <n v="6"/>
    <s v="Single"/>
    <n v="3"/>
    <n v="7"/>
    <s v="Tiktok"/>
    <n v="2"/>
    <s v="8.6"/>
    <s v="OK"/>
    <b v="1"/>
    <s v="High"/>
    <s v="7"/>
    <n v="4.2"/>
    <b v="1"/>
  </r>
  <r>
    <n v="501"/>
    <n v="19"/>
    <s v="Female"/>
    <s v="Undergraduate"/>
    <s v="Brazil"/>
    <n v="6.2"/>
    <x v="10"/>
    <s v="Yes"/>
    <n v="6.3"/>
    <n v="6"/>
    <s v="Single"/>
    <n v="3"/>
    <n v="7"/>
    <s v="Whatsapp"/>
    <n v="1"/>
    <s v="6.3"/>
    <s v="OK"/>
    <b v="1"/>
    <s v="High"/>
    <s v="7"/>
    <n v="4.2"/>
    <b v="1"/>
  </r>
  <r>
    <n v="502"/>
    <n v="21"/>
    <s v="Male"/>
    <s v="Graduate"/>
    <s v="China"/>
    <n v="4.5"/>
    <x v="11"/>
    <s v="No"/>
    <n v="7.8"/>
    <n v="7"/>
    <s v="In Relationship"/>
    <n v="2"/>
    <n v="5"/>
    <s v="Wechat"/>
    <n v="1"/>
    <s v="7.8"/>
    <s v="OK"/>
    <s v="medium"/>
    <s v="Medium"/>
    <s v="5"/>
    <n v="4.2"/>
    <b v="1"/>
  </r>
  <r>
    <n v="503"/>
    <n v="20"/>
    <s v="Female"/>
    <s v="Undergraduate"/>
    <s v="Netherlands"/>
    <n v="3.8"/>
    <x v="0"/>
    <s v="No"/>
    <n v="8.1999999999999993"/>
    <n v="8"/>
    <s v="Single"/>
    <n v="2"/>
    <n v="4"/>
    <s v="Instagram"/>
    <n v="1"/>
    <s v="8.2"/>
    <s v="OK"/>
    <s v="medium"/>
    <s v="Low"/>
    <s v="4"/>
    <n v="4.2"/>
    <b v="1"/>
  </r>
  <r>
    <n v="504"/>
    <n v="22"/>
    <s v="Male"/>
    <s v="Graduate"/>
    <s v="New Zealand"/>
    <n v="4.7"/>
    <x v="0"/>
    <s v="Yes"/>
    <n v="7.5"/>
    <n v="7"/>
    <s v="In Relationship"/>
    <n v="3"/>
    <n v="6"/>
    <s v="Instagram"/>
    <n v="1"/>
    <s v="7.5"/>
    <s v="OK"/>
    <s v="medium"/>
    <s v="Medium"/>
    <s v="6"/>
    <n v="4.2"/>
    <b v="1"/>
  </r>
  <r>
    <n v="505"/>
    <n v="19"/>
    <s v="Female"/>
    <s v="Undergraduate"/>
    <s v="Singapore"/>
    <n v="5.0999999999999996"/>
    <x v="2"/>
    <s v="Yes"/>
    <n v="7"/>
    <n v="6"/>
    <s v="Single"/>
    <n v="3"/>
    <n v="7"/>
    <s v="Tiktok"/>
    <n v="2"/>
    <s v="7"/>
    <s v="OK"/>
    <b v="1"/>
    <s v="High"/>
    <s v="7"/>
    <n v="4.2"/>
    <b v="1"/>
  </r>
  <r>
    <n v="506"/>
    <n v="21"/>
    <s v="Male"/>
    <s v="Graduate"/>
    <s v="Malaysia"/>
    <n v="5.5"/>
    <x v="10"/>
    <s v="Yes"/>
    <n v="6.8"/>
    <n v="6"/>
    <s v="Single"/>
    <n v="3"/>
    <n v="7"/>
    <s v="Whatsapp"/>
    <n v="1"/>
    <s v="6.8"/>
    <s v="OK"/>
    <b v="1"/>
    <s v="High"/>
    <s v="7"/>
    <n v="4.2"/>
    <b v="1"/>
  </r>
  <r>
    <n v="507"/>
    <n v="20"/>
    <s v="Female"/>
    <s v="Undergraduate"/>
    <s v="UAE"/>
    <n v="6.5"/>
    <x v="0"/>
    <s v="Yes"/>
    <n v="6.5"/>
    <n v="5"/>
    <s v="In Relationship"/>
    <n v="4"/>
    <n v="8"/>
    <s v="Instagram"/>
    <n v="1"/>
    <s v="6.5"/>
    <s v="OK"/>
    <b v="1"/>
    <s v="High"/>
    <s v="8"/>
    <n v="4.2"/>
    <b v="1"/>
  </r>
  <r>
    <n v="508"/>
    <n v="22"/>
    <s v="Male"/>
    <s v="Graduate"/>
    <s v="Poland"/>
    <n v="4.2"/>
    <x v="4"/>
    <s v="No"/>
    <n v="7.9"/>
    <n v="7"/>
    <s v="Single"/>
    <n v="2"/>
    <n v="5"/>
    <s v="Facebook"/>
    <n v="0"/>
    <s v="7.9"/>
    <s v="OK"/>
    <s v="medium"/>
    <s v="Medium"/>
    <s v="5"/>
    <n v="4.2"/>
    <b v="1"/>
  </r>
  <r>
    <n v="509"/>
    <n v="19"/>
    <s v="Female"/>
    <s v="Undergraduate"/>
    <s v="India"/>
    <n v="6.8"/>
    <x v="10"/>
    <s v="Yes"/>
    <n v="6"/>
    <n v="5"/>
    <s v="In Relationship"/>
    <n v="4"/>
    <n v="8"/>
    <s v="Whatsapp"/>
    <n v="1"/>
    <s v="6"/>
    <s v="OK"/>
    <b v="1"/>
    <s v="High"/>
    <s v="8"/>
    <n v="4.2"/>
    <b v="1"/>
  </r>
  <r>
    <n v="510"/>
    <n v="21"/>
    <s v="Male"/>
    <s v="Graduate"/>
    <s v="Canada"/>
    <n v="4.8"/>
    <x v="0"/>
    <s v="Yes"/>
    <n v="7.4"/>
    <n v="7"/>
    <s v="Single"/>
    <n v="3"/>
    <n v="6"/>
    <s v="Instagram"/>
    <n v="1"/>
    <s v="7.4"/>
    <s v="OK"/>
    <s v="medium"/>
    <s v="Medium"/>
    <s v="6"/>
    <n v="4.2"/>
    <b v="1"/>
  </r>
  <r>
    <n v="511"/>
    <n v="20"/>
    <s v="Female"/>
    <s v="Undergraduate"/>
    <s v="Brazil"/>
    <n v="6.1"/>
    <x v="0"/>
    <s v="Yes"/>
    <n v="6.4"/>
    <n v="6"/>
    <s v="Single"/>
    <n v="3"/>
    <n v="7"/>
    <s v="Instagram"/>
    <n v="1"/>
    <s v="6.4"/>
    <s v="OK"/>
    <b v="1"/>
    <s v="High"/>
    <s v="7"/>
    <n v="4.2"/>
    <b v="1"/>
  </r>
  <r>
    <n v="512"/>
    <n v="22"/>
    <s v="Male"/>
    <s v="Graduate"/>
    <s v="China"/>
    <n v="4.4000000000000004"/>
    <x v="11"/>
    <s v="No"/>
    <n v="7.9"/>
    <n v="7"/>
    <s v="In Relationship"/>
    <n v="2"/>
    <n v="5"/>
    <s v="Wechat"/>
    <n v="1"/>
    <s v="7.9"/>
    <s v="OK"/>
    <s v="medium"/>
    <s v="Medium"/>
    <s v="5"/>
    <n v="4.2"/>
    <b v="1"/>
  </r>
  <r>
    <n v="513"/>
    <n v="19"/>
    <s v="Female"/>
    <s v="Undergraduate"/>
    <s v="Netherlands"/>
    <n v="3.7"/>
    <x v="2"/>
    <s v="No"/>
    <n v="8.3000000000000007"/>
    <n v="8"/>
    <s v="Single"/>
    <n v="2"/>
    <n v="4"/>
    <s v="Tiktok"/>
    <n v="2"/>
    <s v="8.3"/>
    <s v="OK"/>
    <s v="medium"/>
    <s v="Low"/>
    <s v="4"/>
    <n v="4.2"/>
    <b v="1"/>
  </r>
  <r>
    <n v="514"/>
    <n v="21"/>
    <s v="Male"/>
    <s v="Graduate"/>
    <s v="New Zealand"/>
    <n v="4.5999999999999996"/>
    <x v="0"/>
    <s v="Yes"/>
    <n v="7.6"/>
    <n v="7"/>
    <s v="In Relationship"/>
    <n v="3"/>
    <n v="6"/>
    <s v="Instagram"/>
    <n v="1"/>
    <s v="7.6"/>
    <s v="OK"/>
    <s v="medium"/>
    <s v="Medium"/>
    <s v="6"/>
    <n v="4.2"/>
    <b v="1"/>
  </r>
  <r>
    <n v="515"/>
    <n v="20"/>
    <s v="Female"/>
    <s v="Undergraduate"/>
    <s v="Singapore"/>
    <n v="5.2"/>
    <x v="2"/>
    <s v="Yes"/>
    <n v="6.9"/>
    <n v="6"/>
    <s v="Single"/>
    <n v="3"/>
    <n v="7"/>
    <s v="Tiktok"/>
    <n v="2"/>
    <s v="6.9"/>
    <s v="OK"/>
    <b v="1"/>
    <s v="High"/>
    <s v="7"/>
    <n v="4.2"/>
    <b v="1"/>
  </r>
  <r>
    <n v="516"/>
    <n v="22"/>
    <s v="Male"/>
    <s v="Graduate"/>
    <s v="Malaysia"/>
    <n v="5.6"/>
    <x v="10"/>
    <s v="Yes"/>
    <n v="6.7"/>
    <n v="6"/>
    <s v="Single"/>
    <n v="3"/>
    <n v="7"/>
    <s v="Whatsapp"/>
    <n v="1"/>
    <s v="6.7"/>
    <s v="OK"/>
    <b v="1"/>
    <s v="High"/>
    <s v="7"/>
    <n v="4.2"/>
    <b v="1"/>
  </r>
  <r>
    <n v="517"/>
    <n v="19"/>
    <s v="Female"/>
    <s v="Undergraduate"/>
    <s v="UAE"/>
    <n v="6.6"/>
    <x v="0"/>
    <s v="Yes"/>
    <n v="6.4"/>
    <n v="5"/>
    <s v="In Relationship"/>
    <n v="4"/>
    <n v="8"/>
    <s v="Instagram"/>
    <n v="1"/>
    <s v="6.4"/>
    <s v="OK"/>
    <b v="1"/>
    <s v="High"/>
    <s v="8"/>
    <n v="4.2"/>
    <b v="1"/>
  </r>
  <r>
    <n v="518"/>
    <n v="21"/>
    <s v="Male"/>
    <s v="Graduate"/>
    <s v="Poland"/>
    <n v="4.0999999999999996"/>
    <x v="4"/>
    <s v="No"/>
    <n v="8"/>
    <n v="7"/>
    <s v="Single"/>
    <n v="2"/>
    <n v="5"/>
    <s v="Facebook"/>
    <n v="0"/>
    <s v="8"/>
    <s v="OK"/>
    <s v="medium"/>
    <s v="Medium"/>
    <s v="5"/>
    <n v="4.2"/>
    <b v="1"/>
  </r>
  <r>
    <n v="519"/>
    <n v="20"/>
    <s v="Female"/>
    <s v="Undergraduate"/>
    <s v="India"/>
    <n v="6.9"/>
    <x v="10"/>
    <s v="Yes"/>
    <n v="5.9"/>
    <n v="5"/>
    <s v="In Relationship"/>
    <n v="4"/>
    <n v="8"/>
    <s v="Whatsapp"/>
    <n v="1"/>
    <s v="5.9"/>
    <s v="OK"/>
    <b v="1"/>
    <s v="High"/>
    <s v="8"/>
    <n v="4.2"/>
    <b v="1"/>
  </r>
  <r>
    <n v="520"/>
    <n v="22"/>
    <s v="Male"/>
    <s v="Graduate"/>
    <s v="Canada"/>
    <n v="4.7"/>
    <x v="2"/>
    <s v="Yes"/>
    <n v="7.5"/>
    <n v="7"/>
    <s v="Single"/>
    <n v="3"/>
    <n v="6"/>
    <s v="Tiktok"/>
    <n v="2"/>
    <s v="7.5"/>
    <s v="OK"/>
    <s v="medium"/>
    <s v="Medium"/>
    <s v="6"/>
    <n v="4.0999999999999996"/>
    <b v="1"/>
  </r>
  <r>
    <n v="521"/>
    <n v="19"/>
    <s v="Female"/>
    <s v="Undergraduate"/>
    <s v="Brazil"/>
    <n v="6"/>
    <x v="10"/>
    <s v="Yes"/>
    <n v="6.5"/>
    <n v="6"/>
    <s v="Single"/>
    <n v="3"/>
    <n v="7"/>
    <s v="Whatsapp"/>
    <n v="1"/>
    <s v="6.5"/>
    <s v="OK"/>
    <b v="1"/>
    <s v="High"/>
    <s v="7"/>
    <n v="4.0999999999999996"/>
    <b v="1"/>
  </r>
  <r>
    <n v="522"/>
    <n v="21"/>
    <s v="Male"/>
    <s v="Graduate"/>
    <s v="China"/>
    <n v="4.3"/>
    <x v="11"/>
    <s v="No"/>
    <n v="8"/>
    <n v="7"/>
    <s v="In Relationship"/>
    <n v="2"/>
    <n v="5"/>
    <s v="Wechat"/>
    <n v="1"/>
    <s v="8"/>
    <s v="OK"/>
    <s v="medium"/>
    <s v="Medium"/>
    <s v="5"/>
    <n v="4.0999999999999996"/>
    <b v="1"/>
  </r>
  <r>
    <n v="523"/>
    <n v="20"/>
    <s v="Female"/>
    <s v="Undergraduate"/>
    <s v="Netherlands"/>
    <n v="3.6"/>
    <x v="0"/>
    <s v="No"/>
    <n v="8.4"/>
    <n v="8"/>
    <s v="Single"/>
    <n v="2"/>
    <n v="4"/>
    <s v="Instagram"/>
    <n v="1"/>
    <s v="8.4"/>
    <s v="OK"/>
    <s v="medium"/>
    <s v="Low"/>
    <s v="4"/>
    <n v="4.0999999999999996"/>
    <b v="1"/>
  </r>
  <r>
    <n v="524"/>
    <n v="22"/>
    <s v="Male"/>
    <s v="Graduate"/>
    <s v="New Zealand"/>
    <n v="4.5"/>
    <x v="4"/>
    <s v="Yes"/>
    <n v="7.7"/>
    <n v="7"/>
    <s v="In Relationship"/>
    <n v="3"/>
    <n v="6"/>
    <s v="Facebook"/>
    <n v="0"/>
    <s v="7.7"/>
    <s v="OK"/>
    <s v="medium"/>
    <s v="Medium"/>
    <s v="6"/>
    <n v="4.0999999999999996"/>
    <b v="1"/>
  </r>
  <r>
    <n v="525"/>
    <n v="19"/>
    <s v="Female"/>
    <s v="Undergraduate"/>
    <s v="Singapore"/>
    <n v="5.3"/>
    <x v="2"/>
    <s v="Yes"/>
    <n v="6.8"/>
    <n v="6"/>
    <s v="Single"/>
    <n v="3"/>
    <n v="7"/>
    <s v="Tiktok"/>
    <n v="2"/>
    <s v="6.8"/>
    <s v="OK"/>
    <b v="1"/>
    <s v="High"/>
    <s v="7"/>
    <n v="4.0999999999999996"/>
    <b v="1"/>
  </r>
  <r>
    <n v="526"/>
    <n v="21"/>
    <s v="Male"/>
    <s v="Graduate"/>
    <s v="Malaysia"/>
    <n v="5.7"/>
    <x v="10"/>
    <s v="Yes"/>
    <n v="6.6"/>
    <n v="6"/>
    <s v="Single"/>
    <n v="3"/>
    <n v="7"/>
    <s v="Whatsapp"/>
    <n v="1"/>
    <s v="6.6"/>
    <s v="OK"/>
    <b v="1"/>
    <s v="High"/>
    <s v="7"/>
    <n v="4.0999999999999996"/>
    <b v="1"/>
  </r>
  <r>
    <n v="527"/>
    <n v="20"/>
    <s v="Female"/>
    <s v="Undergraduate"/>
    <s v="UAE"/>
    <n v="6.7"/>
    <x v="0"/>
    <s v="Yes"/>
    <n v="6.3"/>
    <n v="5"/>
    <s v="In Relationship"/>
    <n v="4"/>
    <n v="8"/>
    <s v="Instagram"/>
    <n v="1"/>
    <s v="6.3"/>
    <s v="OK"/>
    <b v="1"/>
    <s v="High"/>
    <s v="8"/>
    <n v="4.0999999999999996"/>
    <b v="1"/>
  </r>
  <r>
    <n v="528"/>
    <n v="22"/>
    <s v="Male"/>
    <s v="Graduate"/>
    <s v="Poland"/>
    <n v="4"/>
    <x v="4"/>
    <s v="No"/>
    <n v="8.1"/>
    <n v="7"/>
    <s v="Single"/>
    <n v="2"/>
    <n v="5"/>
    <s v="Facebook"/>
    <n v="0"/>
    <s v="8.1"/>
    <s v="OK"/>
    <s v="medium"/>
    <s v="Medium"/>
    <s v="5"/>
    <n v="4.0999999999999996"/>
    <b v="1"/>
  </r>
  <r>
    <n v="529"/>
    <n v="19"/>
    <s v="Female"/>
    <s v="Undergraduate"/>
    <s v="India"/>
    <n v="7"/>
    <x v="10"/>
    <s v="Yes"/>
    <n v="5.8"/>
    <n v="5"/>
    <s v="In Relationship"/>
    <n v="4"/>
    <n v="8"/>
    <s v="Whatsapp"/>
    <n v="1"/>
    <s v="5.8"/>
    <s v="OK"/>
    <b v="1"/>
    <s v="High"/>
    <s v="8"/>
    <n v="4.0999999999999996"/>
    <b v="1"/>
  </r>
  <r>
    <n v="530"/>
    <n v="21"/>
    <s v="Male"/>
    <s v="Graduate"/>
    <s v="Canada"/>
    <n v="4.5999999999999996"/>
    <x v="0"/>
    <s v="Yes"/>
    <n v="7.6"/>
    <n v="7"/>
    <s v="Single"/>
    <n v="3"/>
    <n v="6"/>
    <s v="Instagram"/>
    <n v="1"/>
    <s v="7.6"/>
    <s v="OK"/>
    <s v="medium"/>
    <s v="Medium"/>
    <s v="6"/>
    <n v="4.0999999999999996"/>
    <b v="1"/>
  </r>
  <r>
    <n v="531"/>
    <n v="20"/>
    <s v="Female"/>
    <s v="Undergraduate"/>
    <s v="Brazil"/>
    <n v="5.9"/>
    <x v="2"/>
    <s v="Yes"/>
    <n v="6.6"/>
    <n v="6"/>
    <s v="Single"/>
    <n v="3"/>
    <n v="7"/>
    <s v="Tiktok"/>
    <n v="2"/>
    <s v="6.6"/>
    <s v="OK"/>
    <b v="1"/>
    <s v="High"/>
    <s v="7"/>
    <n v="4.0999999999999996"/>
    <b v="1"/>
  </r>
  <r>
    <n v="532"/>
    <n v="22"/>
    <s v="Male"/>
    <s v="Graduate"/>
    <s v="China"/>
    <n v="4.2"/>
    <x v="11"/>
    <s v="No"/>
    <n v="8.1"/>
    <n v="7"/>
    <s v="In Relationship"/>
    <n v="2"/>
    <n v="5"/>
    <s v="Wechat"/>
    <n v="1"/>
    <s v="8.1"/>
    <s v="OK"/>
    <s v="medium"/>
    <s v="Medium"/>
    <s v="5"/>
    <n v="4.0999999999999996"/>
    <b v="1"/>
  </r>
  <r>
    <n v="533"/>
    <n v="19"/>
    <s v="Female"/>
    <s v="Undergraduate"/>
    <s v="Netherlands"/>
    <n v="3.5"/>
    <x v="0"/>
    <s v="No"/>
    <n v="8.5"/>
    <n v="8"/>
    <s v="Single"/>
    <n v="2"/>
    <n v="4"/>
    <s v="Instagram"/>
    <n v="1"/>
    <s v="8.5"/>
    <s v="OK"/>
    <s v="medium"/>
    <s v="Low"/>
    <s v="4"/>
    <n v="4.0999999999999996"/>
    <b v="1"/>
  </r>
  <r>
    <n v="534"/>
    <n v="21"/>
    <s v="Male"/>
    <s v="Graduate"/>
    <s v="New Zealand"/>
    <n v="4.4000000000000004"/>
    <x v="4"/>
    <s v="Yes"/>
    <n v="7.8"/>
    <n v="7"/>
    <s v="In Relationship"/>
    <n v="3"/>
    <n v="6"/>
    <s v="Facebook"/>
    <n v="0"/>
    <s v="7.8"/>
    <s v="OK"/>
    <s v="medium"/>
    <s v="Medium"/>
    <s v="6"/>
    <n v="4.0999999999999996"/>
    <b v="1"/>
  </r>
  <r>
    <n v="535"/>
    <n v="20"/>
    <s v="Female"/>
    <s v="Undergraduate"/>
    <s v="Singapore"/>
    <n v="5.4"/>
    <x v="2"/>
    <s v="Yes"/>
    <n v="6.7"/>
    <n v="6"/>
    <s v="Single"/>
    <n v="3"/>
    <n v="7"/>
    <s v="Tiktok"/>
    <n v="2"/>
    <s v="6.7"/>
    <s v="OK"/>
    <b v="1"/>
    <s v="High"/>
    <s v="7"/>
    <n v="4.0999999999999996"/>
    <b v="1"/>
  </r>
  <r>
    <n v="536"/>
    <n v="22"/>
    <s v="Male"/>
    <s v="Graduate"/>
    <s v="Malaysia"/>
    <n v="5.8"/>
    <x v="10"/>
    <s v="Yes"/>
    <n v="6.5"/>
    <n v="6"/>
    <s v="Single"/>
    <n v="3"/>
    <n v="7"/>
    <s v="Whatsapp"/>
    <n v="1"/>
    <s v="6.5"/>
    <s v="OK"/>
    <b v="1"/>
    <s v="High"/>
    <s v="7"/>
    <n v="4.0999999999999996"/>
    <b v="1"/>
  </r>
  <r>
    <n v="537"/>
    <n v="19"/>
    <s v="Female"/>
    <s v="Undergraduate"/>
    <s v="UAE"/>
    <n v="6.8"/>
    <x v="0"/>
    <s v="Yes"/>
    <n v="6.2"/>
    <n v="5"/>
    <s v="In Relationship"/>
    <n v="4"/>
    <n v="8"/>
    <s v="Instagram"/>
    <n v="1"/>
    <s v="6.2"/>
    <s v="OK"/>
    <b v="1"/>
    <s v="High"/>
    <s v="8"/>
    <n v="4"/>
    <b v="1"/>
  </r>
  <r>
    <n v="538"/>
    <n v="21"/>
    <s v="Male"/>
    <s v="Graduate"/>
    <s v="Poland"/>
    <n v="3.9"/>
    <x v="4"/>
    <s v="No"/>
    <n v="8.1999999999999993"/>
    <n v="7"/>
    <s v="Single"/>
    <n v="2"/>
    <n v="5"/>
    <s v="Facebook"/>
    <n v="0"/>
    <s v="8.2"/>
    <s v="OK"/>
    <s v="medium"/>
    <s v="Medium"/>
    <s v="5"/>
    <n v="4"/>
    <b v="1"/>
  </r>
  <r>
    <n v="539"/>
    <n v="20"/>
    <s v="Female"/>
    <s v="Undergraduate"/>
    <s v="India"/>
    <n v="7.1"/>
    <x v="10"/>
    <s v="Yes"/>
    <n v="5.7"/>
    <n v="5"/>
    <s v="In Relationship"/>
    <n v="4"/>
    <n v="8"/>
    <s v="Whatsapp"/>
    <n v="1"/>
    <s v="5.7"/>
    <s v="OK"/>
    <b v="1"/>
    <s v="High"/>
    <s v="8"/>
    <n v="4"/>
    <b v="1"/>
  </r>
  <r>
    <n v="540"/>
    <n v="22"/>
    <s v="Male"/>
    <s v="Graduate"/>
    <s v="Canada"/>
    <n v="4.5"/>
    <x v="2"/>
    <s v="Yes"/>
    <n v="7.7"/>
    <n v="7"/>
    <s v="Single"/>
    <n v="3"/>
    <n v="6"/>
    <s v="Tiktok"/>
    <n v="2"/>
    <s v="7.7"/>
    <s v="OK"/>
    <s v="medium"/>
    <s v="Medium"/>
    <s v="6"/>
    <n v="4"/>
    <b v="1"/>
  </r>
  <r>
    <n v="541"/>
    <n v="19"/>
    <s v="Female"/>
    <s v="Undergraduate"/>
    <s v="Brazil"/>
    <n v="5.8"/>
    <x v="10"/>
    <s v="Yes"/>
    <n v="6.7"/>
    <n v="6"/>
    <s v="Single"/>
    <n v="3"/>
    <n v="7"/>
    <s v="Whatsapp"/>
    <n v="1"/>
    <s v="6.7"/>
    <s v="OK"/>
    <b v="1"/>
    <s v="High"/>
    <s v="7"/>
    <n v="4"/>
    <b v="1"/>
  </r>
  <r>
    <n v="542"/>
    <n v="21"/>
    <s v="Male"/>
    <s v="Graduate"/>
    <s v="China"/>
    <n v="4.0999999999999996"/>
    <x v="11"/>
    <s v="No"/>
    <n v="8.1999999999999993"/>
    <n v="7"/>
    <s v="In Relationship"/>
    <n v="2"/>
    <n v="5"/>
    <s v="Wechat"/>
    <n v="1"/>
    <s v="8.2"/>
    <s v="OK"/>
    <s v="medium"/>
    <s v="Medium"/>
    <s v="5"/>
    <n v="4"/>
    <b v="1"/>
  </r>
  <r>
    <n v="543"/>
    <n v="20"/>
    <s v="Female"/>
    <s v="Undergraduate"/>
    <s v="Netherlands"/>
    <n v="3.4"/>
    <x v="0"/>
    <s v="No"/>
    <n v="8.6"/>
    <n v="8"/>
    <s v="Single"/>
    <n v="2"/>
    <n v="4"/>
    <s v="Instagram"/>
    <n v="1"/>
    <s v="8.6"/>
    <s v="OK"/>
    <s v="medium"/>
    <s v="Low"/>
    <s v="4"/>
    <n v="4"/>
    <b v="1"/>
  </r>
  <r>
    <n v="544"/>
    <n v="22"/>
    <s v="Male"/>
    <s v="Graduate"/>
    <s v="New Zealand"/>
    <n v="4.3"/>
    <x v="0"/>
    <s v="Yes"/>
    <n v="7.9"/>
    <n v="7"/>
    <s v="In Relationship"/>
    <n v="3"/>
    <n v="6"/>
    <s v="Instagram"/>
    <n v="1"/>
    <s v="7.9"/>
    <s v="OK"/>
    <s v="medium"/>
    <s v="Medium"/>
    <s v="6"/>
    <n v="4"/>
    <b v="1"/>
  </r>
  <r>
    <n v="545"/>
    <n v="19"/>
    <s v="Female"/>
    <s v="Undergraduate"/>
    <s v="Singapore"/>
    <n v="5.5"/>
    <x v="2"/>
    <s v="Yes"/>
    <n v="6.6"/>
    <n v="6"/>
    <s v="Single"/>
    <n v="3"/>
    <n v="7"/>
    <s v="Tiktok"/>
    <n v="2"/>
    <s v="6.6"/>
    <s v="OK"/>
    <b v="1"/>
    <s v="High"/>
    <s v="7"/>
    <n v="4"/>
    <b v="1"/>
  </r>
  <r>
    <n v="546"/>
    <n v="21"/>
    <s v="Male"/>
    <s v="Graduate"/>
    <s v="Malaysia"/>
    <n v="5.9"/>
    <x v="10"/>
    <s v="Yes"/>
    <n v="6.4"/>
    <n v="6"/>
    <s v="Single"/>
    <n v="3"/>
    <n v="7"/>
    <s v="Whatsapp"/>
    <n v="1"/>
    <s v="6.4"/>
    <s v="OK"/>
    <b v="1"/>
    <s v="High"/>
    <s v="7"/>
    <n v="4"/>
    <b v="1"/>
  </r>
  <r>
    <n v="547"/>
    <n v="20"/>
    <s v="Female"/>
    <s v="Undergraduate"/>
    <s v="UAE"/>
    <n v="6.9"/>
    <x v="0"/>
    <s v="Yes"/>
    <n v="6.1"/>
    <n v="5"/>
    <s v="In Relationship"/>
    <n v="4"/>
    <n v="8"/>
    <s v="Instagram"/>
    <n v="1"/>
    <s v="6.1"/>
    <s v="OK"/>
    <b v="1"/>
    <s v="High"/>
    <s v="8"/>
    <n v="4"/>
    <b v="1"/>
  </r>
  <r>
    <n v="548"/>
    <n v="22"/>
    <s v="Male"/>
    <s v="Graduate"/>
    <s v="Poland"/>
    <n v="3.8"/>
    <x v="4"/>
    <s v="No"/>
    <n v="8.3000000000000007"/>
    <n v="7"/>
    <s v="Single"/>
    <n v="2"/>
    <n v="5"/>
    <s v="Facebook"/>
    <n v="0"/>
    <s v="8.3"/>
    <s v="OK"/>
    <s v="medium"/>
    <s v="Medium"/>
    <s v="5"/>
    <n v="4"/>
    <b v="1"/>
  </r>
  <r>
    <n v="549"/>
    <n v="19"/>
    <s v="Female"/>
    <s v="Undergraduate"/>
    <s v="India"/>
    <n v="7.2"/>
    <x v="10"/>
    <s v="Yes"/>
    <n v="5.6"/>
    <n v="5"/>
    <s v="In Relationship"/>
    <n v="4"/>
    <n v="8"/>
    <s v="Whatsapp"/>
    <n v="1"/>
    <s v="5.6"/>
    <s v="OK"/>
    <b v="1"/>
    <s v="High"/>
    <s v="8"/>
    <n v="4"/>
    <b v="1"/>
  </r>
  <r>
    <n v="550"/>
    <n v="21"/>
    <s v="Male"/>
    <s v="Graduate"/>
    <s v="Canada"/>
    <n v="4.4000000000000004"/>
    <x v="0"/>
    <s v="Yes"/>
    <n v="7.8"/>
    <n v="7"/>
    <s v="Single"/>
    <n v="3"/>
    <n v="6"/>
    <s v="Instagram"/>
    <n v="1"/>
    <s v="7.8"/>
    <s v="OK"/>
    <s v="medium"/>
    <s v="Medium"/>
    <s v="6"/>
    <n v="4"/>
    <b v="1"/>
  </r>
  <r>
    <n v="551"/>
    <n v="20"/>
    <s v="Female"/>
    <s v="Undergraduate"/>
    <s v="Brazil"/>
    <n v="5.7"/>
    <x v="2"/>
    <s v="Yes"/>
    <n v="6.8"/>
    <n v="6"/>
    <s v="Single"/>
    <n v="3"/>
    <n v="7"/>
    <s v="Tiktok"/>
    <n v="2"/>
    <s v="6.8"/>
    <s v="OK"/>
    <b v="1"/>
    <s v="High"/>
    <s v="7"/>
    <n v="4"/>
    <b v="1"/>
  </r>
  <r>
    <n v="552"/>
    <n v="22"/>
    <s v="Male"/>
    <s v="Graduate"/>
    <s v="China"/>
    <n v="4"/>
    <x v="11"/>
    <s v="No"/>
    <n v="8.3000000000000007"/>
    <n v="7"/>
    <s v="In Relationship"/>
    <n v="2"/>
    <n v="5"/>
    <s v="Wechat"/>
    <n v="1"/>
    <s v="8.3"/>
    <s v="OK"/>
    <s v="medium"/>
    <s v="Medium"/>
    <s v="5"/>
    <n v="3.9"/>
    <b v="1"/>
  </r>
  <r>
    <n v="553"/>
    <n v="19"/>
    <s v="Female"/>
    <s v="Undergraduate"/>
    <s v="Netherlands"/>
    <n v="3.3"/>
    <x v="0"/>
    <s v="No"/>
    <n v="8.6999999999999993"/>
    <n v="8"/>
    <s v="Single"/>
    <n v="2"/>
    <n v="4"/>
    <s v="Instagram"/>
    <n v="1"/>
    <s v="8.7"/>
    <s v="OK"/>
    <s v="medium"/>
    <s v="Low"/>
    <s v="4"/>
    <n v="3.9"/>
    <b v="1"/>
  </r>
  <r>
    <n v="554"/>
    <n v="21"/>
    <s v="Male"/>
    <s v="Graduate"/>
    <s v="New Zealand"/>
    <n v="4.2"/>
    <x v="4"/>
    <s v="Yes"/>
    <n v="8"/>
    <n v="7"/>
    <s v="In Relationship"/>
    <n v="3"/>
    <n v="6"/>
    <s v="Facebook"/>
    <n v="0"/>
    <s v="8"/>
    <s v="OK"/>
    <s v="medium"/>
    <s v="Medium"/>
    <s v="6"/>
    <n v="3.9"/>
    <b v="1"/>
  </r>
  <r>
    <n v="555"/>
    <n v="20"/>
    <s v="Female"/>
    <s v="Undergraduate"/>
    <s v="Singapore"/>
    <n v="5.6"/>
    <x v="2"/>
    <s v="Yes"/>
    <n v="6.5"/>
    <n v="6"/>
    <s v="Single"/>
    <n v="3"/>
    <n v="7"/>
    <s v="Tiktok"/>
    <n v="2"/>
    <s v="6.5"/>
    <s v="OK"/>
    <b v="1"/>
    <s v="High"/>
    <s v="7"/>
    <n v="3.9"/>
    <b v="1"/>
  </r>
  <r>
    <n v="556"/>
    <n v="22"/>
    <s v="Male"/>
    <s v="Graduate"/>
    <s v="Malaysia"/>
    <n v="6"/>
    <x v="10"/>
    <s v="Yes"/>
    <n v="6.3"/>
    <n v="6"/>
    <s v="Single"/>
    <n v="3"/>
    <n v="7"/>
    <s v="Whatsapp"/>
    <n v="1"/>
    <s v="6.3"/>
    <s v="OK"/>
    <b v="1"/>
    <s v="High"/>
    <s v="7"/>
    <n v="3.9"/>
    <b v="1"/>
  </r>
  <r>
    <n v="557"/>
    <n v="19"/>
    <s v="Female"/>
    <s v="Undergraduate"/>
    <s v="UAE"/>
    <n v="7"/>
    <x v="0"/>
    <s v="Yes"/>
    <n v="6"/>
    <n v="5"/>
    <s v="In Relationship"/>
    <n v="4"/>
    <n v="8"/>
    <s v="Instagram"/>
    <n v="1"/>
    <s v="6"/>
    <s v="OK"/>
    <b v="1"/>
    <s v="High"/>
    <s v="8"/>
    <n v="3.9"/>
    <b v="1"/>
  </r>
  <r>
    <n v="558"/>
    <n v="21"/>
    <s v="Male"/>
    <s v="Graduate"/>
    <s v="Poland"/>
    <n v="3.7"/>
    <x v="4"/>
    <s v="No"/>
    <n v="8.4"/>
    <n v="7"/>
    <s v="Single"/>
    <n v="2"/>
    <n v="5"/>
    <s v="Facebook"/>
    <n v="0"/>
    <s v="8.4"/>
    <s v="OK"/>
    <s v="medium"/>
    <s v="Medium"/>
    <s v="5"/>
    <n v="3.9"/>
    <b v="1"/>
  </r>
  <r>
    <n v="559"/>
    <n v="20"/>
    <s v="Female"/>
    <s v="Undergraduate"/>
    <s v="India"/>
    <n v="7.3"/>
    <x v="10"/>
    <s v="Yes"/>
    <n v="5.5"/>
    <n v="5"/>
    <s v="In Relationship"/>
    <n v="4"/>
    <n v="8"/>
    <s v="Whatsapp"/>
    <n v="1"/>
    <s v="5.5"/>
    <s v="OK"/>
    <b v="1"/>
    <s v="High"/>
    <s v="8"/>
    <n v="3.9"/>
    <b v="1"/>
  </r>
  <r>
    <n v="560"/>
    <n v="22"/>
    <s v="Male"/>
    <s v="Graduate"/>
    <s v="Canada"/>
    <n v="4.3"/>
    <x v="2"/>
    <s v="Yes"/>
    <n v="7.9"/>
    <n v="7"/>
    <s v="Single"/>
    <n v="3"/>
    <n v="6"/>
    <s v="Tiktok"/>
    <n v="2"/>
    <s v="7.9"/>
    <s v="OK"/>
    <s v="medium"/>
    <s v="Medium"/>
    <s v="6"/>
    <n v="3.9"/>
    <b v="1"/>
  </r>
  <r>
    <n v="561"/>
    <n v="19"/>
    <s v="Female"/>
    <s v="Undergraduate"/>
    <s v="Brazil"/>
    <n v="5.6"/>
    <x v="10"/>
    <s v="Yes"/>
    <n v="6.9"/>
    <n v="6"/>
    <s v="Single"/>
    <n v="3"/>
    <n v="7"/>
    <s v="Whatsapp"/>
    <n v="1"/>
    <s v="6.9"/>
    <s v="OK"/>
    <b v="1"/>
    <s v="High"/>
    <s v="7"/>
    <n v="3.9"/>
    <b v="1"/>
  </r>
  <r>
    <n v="562"/>
    <n v="21"/>
    <s v="Male"/>
    <s v="Graduate"/>
    <s v="China"/>
    <n v="3.9"/>
    <x v="11"/>
    <s v="No"/>
    <n v="8.4"/>
    <n v="7"/>
    <s v="In Relationship"/>
    <n v="2"/>
    <n v="5"/>
    <s v="Wechat"/>
    <n v="1"/>
    <s v="8.4"/>
    <s v="OK"/>
    <s v="medium"/>
    <s v="Medium"/>
    <s v="5"/>
    <n v="3.9"/>
    <b v="1"/>
  </r>
  <r>
    <n v="563"/>
    <n v="20"/>
    <s v="Female"/>
    <s v="Undergraduate"/>
    <s v="Netherlands"/>
    <n v="3.2"/>
    <x v="0"/>
    <s v="No"/>
    <n v="8.8000000000000007"/>
    <n v="8"/>
    <s v="Single"/>
    <n v="2"/>
    <n v="4"/>
    <s v="Instagram"/>
    <n v="1"/>
    <s v="8.8"/>
    <s v="OK"/>
    <s v="medium"/>
    <s v="Low"/>
    <s v="4"/>
    <n v="3.9"/>
    <b v="1"/>
  </r>
  <r>
    <n v="564"/>
    <n v="22"/>
    <s v="Male"/>
    <s v="Graduate"/>
    <s v="New Zealand"/>
    <n v="4.0999999999999996"/>
    <x v="0"/>
    <s v="Yes"/>
    <n v="8.1"/>
    <n v="7"/>
    <s v="In Relationship"/>
    <n v="3"/>
    <n v="6"/>
    <s v="Instagram"/>
    <n v="1"/>
    <s v="8.1"/>
    <s v="OK"/>
    <s v="medium"/>
    <s v="Medium"/>
    <s v="6"/>
    <n v="3.9"/>
    <b v="1"/>
  </r>
  <r>
    <n v="565"/>
    <n v="19"/>
    <s v="Female"/>
    <s v="Undergraduate"/>
    <s v="Singapore"/>
    <n v="5.7"/>
    <x v="2"/>
    <s v="Yes"/>
    <n v="6.4"/>
    <n v="6"/>
    <s v="Single"/>
    <n v="3"/>
    <n v="7"/>
    <s v="Tiktok"/>
    <n v="2"/>
    <s v="6.4"/>
    <s v="OK"/>
    <b v="1"/>
    <s v="High"/>
    <s v="7"/>
    <n v="3.9"/>
    <b v="1"/>
  </r>
  <r>
    <n v="566"/>
    <n v="21"/>
    <s v="Male"/>
    <s v="Graduate"/>
    <s v="Malaysia"/>
    <n v="6.1"/>
    <x v="10"/>
    <s v="Yes"/>
    <n v="6.2"/>
    <n v="6"/>
    <s v="Single"/>
    <n v="3"/>
    <n v="7"/>
    <s v="Whatsapp"/>
    <n v="1"/>
    <s v="6.2"/>
    <s v="OK"/>
    <b v="1"/>
    <s v="High"/>
    <s v="7"/>
    <n v="3.9"/>
    <b v="1"/>
  </r>
  <r>
    <n v="567"/>
    <n v="20"/>
    <s v="Female"/>
    <s v="Undergraduate"/>
    <s v="UAE"/>
    <n v="7.1"/>
    <x v="0"/>
    <s v="Yes"/>
    <n v="5.9"/>
    <n v="5"/>
    <s v="In Relationship"/>
    <n v="4"/>
    <n v="8"/>
    <s v="Instagram"/>
    <n v="1"/>
    <s v="5.9"/>
    <s v="OK"/>
    <b v="1"/>
    <s v="High"/>
    <s v="8"/>
    <n v="3.8"/>
    <b v="1"/>
  </r>
  <r>
    <n v="568"/>
    <n v="22"/>
    <s v="Male"/>
    <s v="Graduate"/>
    <s v="Poland"/>
    <n v="3.6"/>
    <x v="4"/>
    <s v="No"/>
    <n v="8.5"/>
    <n v="7"/>
    <s v="Single"/>
    <n v="2"/>
    <n v="5"/>
    <s v="Facebook"/>
    <n v="0"/>
    <s v="8.5"/>
    <s v="OK"/>
    <s v="medium"/>
    <s v="Medium"/>
    <s v="5"/>
    <n v="3.8"/>
    <b v="1"/>
  </r>
  <r>
    <n v="569"/>
    <n v="19"/>
    <s v="Female"/>
    <s v="Undergraduate"/>
    <s v="India"/>
    <n v="7.4"/>
    <x v="10"/>
    <s v="Yes"/>
    <n v="5.4"/>
    <n v="5"/>
    <s v="In Relationship"/>
    <n v="4"/>
    <n v="8"/>
    <s v="Whatsapp"/>
    <n v="1"/>
    <s v="5.4"/>
    <s v="OK"/>
    <b v="1"/>
    <s v="High"/>
    <s v="8"/>
    <n v="3.8"/>
    <b v="1"/>
  </r>
  <r>
    <n v="570"/>
    <n v="21"/>
    <s v="Male"/>
    <s v="Graduate"/>
    <s v="Canada"/>
    <n v="4.2"/>
    <x v="0"/>
    <s v="Yes"/>
    <n v="8"/>
    <n v="7"/>
    <s v="Single"/>
    <n v="3"/>
    <n v="6"/>
    <s v="Instagram"/>
    <n v="1"/>
    <s v="8"/>
    <s v="OK"/>
    <s v="medium"/>
    <s v="Medium"/>
    <s v="6"/>
    <n v="3.8"/>
    <b v="1"/>
  </r>
  <r>
    <n v="571"/>
    <n v="20"/>
    <s v="Female"/>
    <s v="Undergraduate"/>
    <s v="Spain"/>
    <n v="6.1"/>
    <x v="0"/>
    <s v="Yes"/>
    <n v="7.2"/>
    <n v="5"/>
    <s v="Single"/>
    <n v="4"/>
    <n v="7"/>
    <s v="Instagram"/>
    <n v="1"/>
    <s v="7.2"/>
    <s v="OK"/>
    <b v="1"/>
    <s v="High"/>
    <s v="7"/>
    <n v="3.8"/>
    <b v="1"/>
  </r>
  <r>
    <n v="572"/>
    <n v="23"/>
    <s v="Male"/>
    <s v="Graduate"/>
    <s v="Denmark"/>
    <n v="3.8"/>
    <x v="1"/>
    <s v="No"/>
    <n v="7.8"/>
    <n v="8"/>
    <s v="In Relationship"/>
    <n v="2"/>
    <n v="4"/>
    <s v="Twitter"/>
    <n v="3"/>
    <s v="7.8"/>
    <s v="OK"/>
    <s v="medium"/>
    <s v="Low"/>
    <s v="4"/>
    <n v="3.8"/>
    <b v="1"/>
  </r>
  <r>
    <n v="573"/>
    <n v="19"/>
    <s v="Female"/>
    <s v="Undergraduate"/>
    <s v="Ireland"/>
    <n v="5.5"/>
    <x v="2"/>
    <s v="Yes"/>
    <n v="6.8"/>
    <n v="6"/>
    <s v="Single"/>
    <n v="4"/>
    <n v="8"/>
    <s v="Tiktok"/>
    <n v="2"/>
    <s v="6.8"/>
    <s v="OK"/>
    <b v="1"/>
    <s v="High"/>
    <s v="8"/>
    <n v="3.8"/>
    <b v="1"/>
  </r>
  <r>
    <n v="574"/>
    <n v="22"/>
    <s v="Male"/>
    <s v="Graduate"/>
    <s v="India"/>
    <n v="7.2"/>
    <x v="4"/>
    <s v="Yes"/>
    <n v="5.9"/>
    <n v="4"/>
    <s v="Single"/>
    <n v="5"/>
    <n v="9"/>
    <s v="Facebook"/>
    <n v="0"/>
    <s v="5.9"/>
    <s v="OK"/>
    <b v="1"/>
    <s v="High"/>
    <s v="9"/>
    <n v="3.8"/>
    <b v="1"/>
  </r>
  <r>
    <n v="575"/>
    <n v="21"/>
    <s v="Female"/>
    <s v="Undergraduate"/>
    <s v="Switzerland"/>
    <n v="4.2"/>
    <x v="0"/>
    <s v="No"/>
    <n v="7.5"/>
    <n v="7"/>
    <s v="In Relationship"/>
    <n v="2"/>
    <n v="5"/>
    <s v="Instagram"/>
    <n v="1"/>
    <s v="7.5"/>
    <s v="OK"/>
    <s v="medium"/>
    <s v="Medium"/>
    <s v="5"/>
    <n v="3.8"/>
    <b v="1"/>
  </r>
  <r>
    <n v="576"/>
    <n v="24"/>
    <s v="Male"/>
    <s v="Graduate"/>
    <s v="Turkey"/>
    <n v="6.8"/>
    <x v="2"/>
    <s v="Yes"/>
    <n v="6.2"/>
    <n v="5"/>
    <s v="Single"/>
    <n v="4"/>
    <n v="8"/>
    <s v="Tiktok"/>
    <n v="2"/>
    <s v="6.2"/>
    <s v="OK"/>
    <b v="1"/>
    <s v="High"/>
    <s v="8"/>
    <n v="3.8"/>
    <b v="1"/>
  </r>
  <r>
    <n v="577"/>
    <n v="20"/>
    <s v="Female"/>
    <s v="Undergraduate"/>
    <s v="USA"/>
    <n v="5.9"/>
    <x v="0"/>
    <s v="Yes"/>
    <n v="6.7"/>
    <n v="6"/>
    <s v="In Relationship"/>
    <n v="3"/>
    <n v="7"/>
    <s v="Instagram"/>
    <n v="1"/>
    <s v="6.7"/>
    <s v="OK"/>
    <b v="1"/>
    <s v="High"/>
    <s v="7"/>
    <n v="3.8"/>
    <b v="1"/>
  </r>
  <r>
    <n v="578"/>
    <n v="22"/>
    <s v="Male"/>
    <s v="Graduate"/>
    <s v="Mexico"/>
    <n v="6.5"/>
    <x v="4"/>
    <s v="Yes"/>
    <n v="6.1"/>
    <n v="5"/>
    <s v="Single"/>
    <n v="4"/>
    <n v="8"/>
    <s v="Facebook"/>
    <n v="0"/>
    <s v="6.1"/>
    <s v="OK"/>
    <b v="1"/>
    <s v="High"/>
    <s v="8"/>
    <n v="3.8"/>
    <b v="1"/>
  </r>
  <r>
    <n v="579"/>
    <n v="19"/>
    <s v="Female"/>
    <s v="Undergraduate"/>
    <s v="France"/>
    <n v="4.7"/>
    <x v="1"/>
    <s v="No"/>
    <n v="7.4"/>
    <n v="7"/>
    <s v="Single"/>
    <n v="2"/>
    <n v="5"/>
    <s v="Twitter"/>
    <n v="3"/>
    <s v="7.4"/>
    <s v="OK"/>
    <s v="medium"/>
    <s v="Medium"/>
    <s v="5"/>
    <n v="3.8"/>
    <b v="1"/>
  </r>
  <r>
    <n v="580"/>
    <n v="23"/>
    <s v="Male"/>
    <s v="Graduate"/>
    <s v="Canada"/>
    <n v="5.2"/>
    <x v="0"/>
    <s v="Yes"/>
    <n v="7"/>
    <n v="6"/>
    <s v="In Relationship"/>
    <n v="3"/>
    <n v="6"/>
    <s v="Instagram"/>
    <n v="1"/>
    <s v="7"/>
    <s v="OK"/>
    <s v="medium"/>
    <s v="Medium"/>
    <s v="6"/>
    <n v="3.8"/>
    <b v="1"/>
  </r>
  <r>
    <n v="581"/>
    <n v="21"/>
    <s v="Female"/>
    <s v="Undergraduate"/>
    <s v="UK"/>
    <n v="6.3"/>
    <x v="2"/>
    <s v="Yes"/>
    <n v="6.4"/>
    <n v="5"/>
    <s v="Single"/>
    <n v="4"/>
    <n v="8"/>
    <s v="Tiktok"/>
    <n v="2"/>
    <s v="6.4"/>
    <s v="OK"/>
    <b v="1"/>
    <s v="High"/>
    <s v="8"/>
    <n v="3.8"/>
    <b v="1"/>
  </r>
  <r>
    <n v="582"/>
    <n v="24"/>
    <s v="Male"/>
    <s v="Graduate"/>
    <s v="Italy"/>
    <n v="4.9000000000000004"/>
    <x v="4"/>
    <s v="No"/>
    <n v="7.3"/>
    <n v="7"/>
    <s v="In Relationship"/>
    <n v="2"/>
    <n v="5"/>
    <s v="Facebook"/>
    <n v="0"/>
    <s v="7.3"/>
    <s v="OK"/>
    <s v="medium"/>
    <s v="Medium"/>
    <s v="5"/>
    <n v="3.8"/>
    <b v="1"/>
  </r>
  <r>
    <n v="583"/>
    <n v="20"/>
    <s v="Female"/>
    <s v="Undergraduate"/>
    <s v="Russia"/>
    <n v="6.7"/>
    <x v="0"/>
    <s v="Yes"/>
    <n v="6"/>
    <n v="5"/>
    <s v="Single"/>
    <n v="4"/>
    <n v="8"/>
    <s v="Instagram"/>
    <n v="1"/>
    <s v="6"/>
    <s v="OK"/>
    <b v="1"/>
    <s v="High"/>
    <s v="8"/>
    <n v="3.8"/>
    <b v="1"/>
  </r>
  <r>
    <n v="584"/>
    <n v="22"/>
    <s v="Male"/>
    <s v="Graduate"/>
    <s v="China"/>
    <n v="5.8"/>
    <x v="11"/>
    <s v="Yes"/>
    <n v="6.5"/>
    <n v="6"/>
    <s v="In Relationship"/>
    <n v="3"/>
    <n v="7"/>
    <s v="Wechat"/>
    <n v="1"/>
    <s v="6.5"/>
    <s v="OK"/>
    <b v="1"/>
    <s v="High"/>
    <s v="7"/>
    <n v="3.8"/>
    <b v="1"/>
  </r>
  <r>
    <n v="585"/>
    <n v="19"/>
    <s v="Female"/>
    <s v="Undergraduate"/>
    <s v="Japan"/>
    <n v="4.5"/>
    <x v="1"/>
    <s v="No"/>
    <n v="7.6"/>
    <n v="8"/>
    <s v="Single"/>
    <n v="2"/>
    <n v="4"/>
    <s v="Twitter"/>
    <n v="3"/>
    <s v="7.6"/>
    <s v="OK"/>
    <s v="medium"/>
    <s v="Low"/>
    <s v="4"/>
    <n v="3.8"/>
    <b v="1"/>
  </r>
  <r>
    <n v="586"/>
    <n v="23"/>
    <s v="Male"/>
    <s v="Graduate"/>
    <s v="Poland"/>
    <n v="6.4"/>
    <x v="4"/>
    <s v="Yes"/>
    <n v="6.3"/>
    <n v="5"/>
    <s v="Single"/>
    <n v="4"/>
    <n v="8"/>
    <s v="Facebook"/>
    <n v="0"/>
    <s v="6.3"/>
    <s v="OK"/>
    <b v="1"/>
    <s v="High"/>
    <s v="8"/>
    <n v="3.7"/>
    <b v="1"/>
  </r>
  <r>
    <n v="587"/>
    <n v="21"/>
    <s v="Female"/>
    <s v="Undergraduate"/>
    <s v="Finland"/>
    <n v="4.0999999999999996"/>
    <x v="0"/>
    <s v="No"/>
    <n v="7.7"/>
    <n v="7"/>
    <s v="In Relationship"/>
    <n v="2"/>
    <n v="5"/>
    <s v="Instagram"/>
    <n v="1"/>
    <s v="7.7"/>
    <s v="OK"/>
    <s v="medium"/>
    <s v="Medium"/>
    <s v="5"/>
    <n v="3.7"/>
    <b v="1"/>
  </r>
  <r>
    <n v="588"/>
    <n v="24"/>
    <s v="Male"/>
    <s v="Graduate"/>
    <s v="Spain"/>
    <n v="6.6"/>
    <x v="2"/>
    <s v="Yes"/>
    <n v="6.2"/>
    <n v="5"/>
    <s v="Single"/>
    <n v="4"/>
    <n v="8"/>
    <s v="Tiktok"/>
    <n v="2"/>
    <s v="6.2"/>
    <s v="OK"/>
    <b v="1"/>
    <s v="High"/>
    <s v="8"/>
    <n v="3.7"/>
    <b v="1"/>
  </r>
  <r>
    <n v="589"/>
    <n v="20"/>
    <s v="Female"/>
    <s v="Undergraduate"/>
    <s v="Denmark"/>
    <n v="4.4000000000000004"/>
    <x v="0"/>
    <s v="No"/>
    <n v="7.4"/>
    <n v="7"/>
    <s v="In Relationship"/>
    <n v="2"/>
    <n v="5"/>
    <s v="Instagram"/>
    <n v="1"/>
    <s v="7.4"/>
    <s v="OK"/>
    <s v="medium"/>
    <s v="Medium"/>
    <s v="5"/>
    <n v="3.7"/>
    <b v="1"/>
  </r>
  <r>
    <n v="590"/>
    <n v="22"/>
    <s v="Male"/>
    <s v="Graduate"/>
    <s v="Ireland"/>
    <n v="5.7"/>
    <x v="1"/>
    <s v="Yes"/>
    <n v="6.8"/>
    <n v="6"/>
    <s v="Single"/>
    <n v="3"/>
    <n v="7"/>
    <s v="Twitter"/>
    <n v="3"/>
    <s v="6.8"/>
    <s v="OK"/>
    <b v="1"/>
    <s v="High"/>
    <s v="7"/>
    <n v="3.7"/>
    <b v="1"/>
  </r>
  <r>
    <n v="591"/>
    <n v="19"/>
    <s v="Female"/>
    <s v="Undergraduate"/>
    <s v="India"/>
    <n v="7"/>
    <x v="0"/>
    <s v="Yes"/>
    <n v="5.8"/>
    <n v="4"/>
    <s v="Single"/>
    <n v="5"/>
    <n v="9"/>
    <s v="Instagram"/>
    <n v="1"/>
    <s v="5.8"/>
    <s v="OK"/>
    <b v="1"/>
    <s v="High"/>
    <s v="9"/>
    <n v="3.7"/>
    <b v="1"/>
  </r>
  <r>
    <n v="592"/>
    <n v="23"/>
    <s v="Male"/>
    <s v="Graduate"/>
    <s v="Switzerland"/>
    <n v="4.3"/>
    <x v="4"/>
    <s v="No"/>
    <n v="7.5"/>
    <n v="7"/>
    <s v="In Relationship"/>
    <n v="2"/>
    <n v="5"/>
    <s v="Facebook"/>
    <n v="0"/>
    <s v="7.5"/>
    <s v="OK"/>
    <s v="medium"/>
    <s v="Medium"/>
    <s v="5"/>
    <n v="3.7"/>
    <b v="1"/>
  </r>
  <r>
    <n v="593"/>
    <n v="21"/>
    <s v="Female"/>
    <s v="Undergraduate"/>
    <s v="Turkey"/>
    <n v="6.9"/>
    <x v="2"/>
    <s v="Yes"/>
    <n v="6.1"/>
    <n v="5"/>
    <s v="Single"/>
    <n v="4"/>
    <n v="8"/>
    <s v="Tiktok"/>
    <n v="2"/>
    <s v="6.1"/>
    <s v="OK"/>
    <b v="1"/>
    <s v="High"/>
    <s v="8"/>
    <n v="3.7"/>
    <b v="1"/>
  </r>
  <r>
    <n v="594"/>
    <n v="24"/>
    <s v="Male"/>
    <s v="Graduate"/>
    <s v="USA"/>
    <n v="5.6"/>
    <x v="0"/>
    <s v="Yes"/>
    <n v="6.9"/>
    <n v="6"/>
    <s v="In Relationship"/>
    <n v="3"/>
    <n v="7"/>
    <s v="Instagram"/>
    <n v="1"/>
    <s v="6.9"/>
    <s v="OK"/>
    <b v="1"/>
    <s v="High"/>
    <s v="7"/>
    <n v="3.7"/>
    <b v="1"/>
  </r>
  <r>
    <n v="595"/>
    <n v="20"/>
    <s v="Female"/>
    <s v="Undergraduate"/>
    <s v="Mexico"/>
    <n v="6.2"/>
    <x v="4"/>
    <s v="Yes"/>
    <n v="6.3"/>
    <n v="5"/>
    <s v="Single"/>
    <n v="4"/>
    <n v="8"/>
    <s v="Facebook"/>
    <n v="0"/>
    <s v="6.3"/>
    <s v="OK"/>
    <b v="1"/>
    <s v="High"/>
    <s v="8"/>
    <n v="3.7"/>
    <b v="1"/>
  </r>
  <r>
    <n v="596"/>
    <n v="21"/>
    <s v="Male"/>
    <s v="Undergraduate"/>
    <s v="France"/>
    <n v="5.8"/>
    <x v="0"/>
    <s v="Yes"/>
    <n v="6.7"/>
    <n v="6"/>
    <s v="Single"/>
    <n v="3"/>
    <n v="7"/>
    <s v="Instagram"/>
    <n v="1"/>
    <s v="6.7"/>
    <s v="OK"/>
    <b v="1"/>
    <s v="High"/>
    <s v="7"/>
    <n v="3.7"/>
    <b v="1"/>
  </r>
  <r>
    <n v="597"/>
    <n v="23"/>
    <s v="Female"/>
    <s v="Graduate"/>
    <s v="Canada"/>
    <n v="4.9000000000000004"/>
    <x v="2"/>
    <s v="No"/>
    <n v="7.3"/>
    <n v="7"/>
    <s v="In Relationship"/>
    <n v="2"/>
    <n v="5"/>
    <s v="Tiktok"/>
    <n v="2"/>
    <s v="7.3"/>
    <s v="OK"/>
    <s v="medium"/>
    <s v="Medium"/>
    <s v="5"/>
    <n v="3.7"/>
    <b v="1"/>
  </r>
  <r>
    <n v="598"/>
    <n v="20"/>
    <s v="Male"/>
    <s v="Undergraduate"/>
    <s v="UK"/>
    <n v="6.4"/>
    <x v="4"/>
    <s v="Yes"/>
    <n v="6.2"/>
    <n v="5"/>
    <s v="Single"/>
    <n v="4"/>
    <n v="8"/>
    <s v="Facebook"/>
    <n v="0"/>
    <s v="6.2"/>
    <s v="OK"/>
    <b v="1"/>
    <s v="High"/>
    <s v="8"/>
    <n v="3.7"/>
    <b v="1"/>
  </r>
  <r>
    <n v="599"/>
    <n v="22"/>
    <s v="Female"/>
    <s v="Graduate"/>
    <s v="Italy"/>
    <n v="5.0999999999999996"/>
    <x v="1"/>
    <s v="No"/>
    <n v="7.1"/>
    <n v="7"/>
    <s v="In Relationship"/>
    <n v="2"/>
    <n v="5"/>
    <s v="Twitter"/>
    <n v="3"/>
    <s v="7.1"/>
    <s v="OK"/>
    <s v="medium"/>
    <s v="Medium"/>
    <s v="5"/>
    <n v="3.7"/>
    <b v="1"/>
  </r>
  <r>
    <n v="600"/>
    <n v="19"/>
    <s v="Male"/>
    <s v="Undergraduate"/>
    <s v="Russia"/>
    <n v="6.7"/>
    <x v="0"/>
    <s v="Yes"/>
    <n v="6"/>
    <n v="4"/>
    <s v="Single"/>
    <n v="4"/>
    <n v="8"/>
    <s v="Instagram"/>
    <n v="1"/>
    <s v="6"/>
    <s v="OK"/>
    <b v="1"/>
    <s v="High"/>
    <s v="8"/>
    <n v="3.7"/>
    <b v="1"/>
  </r>
  <r>
    <n v="601"/>
    <n v="24"/>
    <s v="Female"/>
    <s v="Graduate"/>
    <s v="China"/>
    <n v="5.5"/>
    <x v="11"/>
    <s v="Yes"/>
    <n v="6.8"/>
    <n v="6"/>
    <s v="In Relationship"/>
    <n v="3"/>
    <n v="7"/>
    <s v="Wechat"/>
    <n v="1"/>
    <s v="6.8"/>
    <s v="OK"/>
    <b v="1"/>
    <s v="High"/>
    <s v="7"/>
    <n v="3.6"/>
    <b v="1"/>
  </r>
  <r>
    <n v="602"/>
    <n v="21"/>
    <s v="Male"/>
    <s v="Undergraduate"/>
    <s v="Japan"/>
    <n v="4.3"/>
    <x v="1"/>
    <s v="No"/>
    <n v="7.6"/>
    <n v="8"/>
    <s v="Single"/>
    <n v="2"/>
    <n v="4"/>
    <s v="Twitter"/>
    <n v="3"/>
    <s v="7.6"/>
    <s v="OK"/>
    <s v="medium"/>
    <s v="Low"/>
    <s v="4"/>
    <n v="3.6"/>
    <b v="1"/>
  </r>
  <r>
    <n v="603"/>
    <n v="23"/>
    <s v="Female"/>
    <s v="Graduate"/>
    <s v="Poland"/>
    <n v="6.2"/>
    <x v="0"/>
    <s v="Yes"/>
    <n v="6.4"/>
    <n v="5"/>
    <s v="Single"/>
    <n v="4"/>
    <n v="8"/>
    <s v="Instagram"/>
    <n v="1"/>
    <s v="6.4"/>
    <s v="OK"/>
    <b v="1"/>
    <s v="High"/>
    <s v="8"/>
    <n v="3.6"/>
    <b v="1"/>
  </r>
  <r>
    <n v="604"/>
    <n v="20"/>
    <s v="Male"/>
    <s v="Undergraduate"/>
    <s v="Finland"/>
    <n v="4.5"/>
    <x v="4"/>
    <s v="No"/>
    <n v="7.4"/>
    <n v="7"/>
    <s v="In Relationship"/>
    <n v="2"/>
    <n v="5"/>
    <s v="Facebook"/>
    <n v="0"/>
    <s v="7.4"/>
    <s v="OK"/>
    <s v="medium"/>
    <s v="Medium"/>
    <s v="5"/>
    <n v="3.6"/>
    <b v="1"/>
  </r>
  <r>
    <n v="605"/>
    <n v="22"/>
    <s v="Female"/>
    <s v="Graduate"/>
    <s v="Spain"/>
    <n v="6.3"/>
    <x v="2"/>
    <s v="Yes"/>
    <n v="6.3"/>
    <n v="5"/>
    <s v="Single"/>
    <n v="4"/>
    <n v="8"/>
    <s v="Tiktok"/>
    <n v="2"/>
    <s v="6.3"/>
    <s v="OK"/>
    <b v="1"/>
    <s v="High"/>
    <s v="8"/>
    <n v="3.6"/>
    <b v="1"/>
  </r>
  <r>
    <n v="606"/>
    <n v="19"/>
    <s v="Male"/>
    <s v="Undergraduate"/>
    <s v="Denmark"/>
    <n v="4.7"/>
    <x v="0"/>
    <s v="No"/>
    <n v="7.2"/>
    <n v="7"/>
    <s v="In Relationship"/>
    <n v="2"/>
    <n v="5"/>
    <s v="Instagram"/>
    <n v="1"/>
    <s v="7.2"/>
    <s v="OK"/>
    <s v="medium"/>
    <s v="Medium"/>
    <s v="5"/>
    <n v="3.6"/>
    <b v="1"/>
  </r>
  <r>
    <n v="607"/>
    <n v="24"/>
    <s v="Female"/>
    <s v="Graduate"/>
    <s v="Ireland"/>
    <n v="5.9"/>
    <x v="1"/>
    <s v="Yes"/>
    <n v="6.6"/>
    <n v="6"/>
    <s v="Single"/>
    <n v="3"/>
    <n v="7"/>
    <s v="Twitter"/>
    <n v="3"/>
    <s v="6.6"/>
    <s v="OK"/>
    <b v="1"/>
    <s v="High"/>
    <s v="7"/>
    <n v="3.6"/>
    <b v="1"/>
  </r>
  <r>
    <n v="608"/>
    <n v="21"/>
    <s v="Male"/>
    <s v="Undergraduate"/>
    <s v="India"/>
    <n v="7.1"/>
    <x v="4"/>
    <s v="Yes"/>
    <n v="5.7"/>
    <n v="4"/>
    <s v="Single"/>
    <n v="5"/>
    <n v="9"/>
    <s v="Facebook"/>
    <n v="0"/>
    <s v="5.7"/>
    <s v="OK"/>
    <b v="1"/>
    <s v="High"/>
    <s v="9"/>
    <n v="3.6"/>
    <b v="1"/>
  </r>
  <r>
    <n v="609"/>
    <n v="23"/>
    <s v="Female"/>
    <s v="Graduate"/>
    <s v="Switzerland"/>
    <n v="4.4000000000000004"/>
    <x v="0"/>
    <s v="No"/>
    <n v="7.4"/>
    <n v="7"/>
    <s v="In Relationship"/>
    <n v="2"/>
    <n v="5"/>
    <s v="Instagram"/>
    <n v="1"/>
    <s v="7.4"/>
    <s v="OK"/>
    <s v="medium"/>
    <s v="Medium"/>
    <s v="5"/>
    <n v="3.6"/>
    <b v="1"/>
  </r>
  <r>
    <n v="610"/>
    <n v="20"/>
    <s v="Male"/>
    <s v="Undergraduate"/>
    <s v="Turkey"/>
    <n v="6.6"/>
    <x v="2"/>
    <s v="Yes"/>
    <n v="6.2"/>
    <n v="5"/>
    <s v="Single"/>
    <n v="4"/>
    <n v="8"/>
    <s v="Tiktok"/>
    <n v="2"/>
    <s v="6.2"/>
    <s v="OK"/>
    <b v="1"/>
    <s v="High"/>
    <s v="8"/>
    <n v="3.6"/>
    <b v="1"/>
  </r>
  <r>
    <n v="611"/>
    <n v="22"/>
    <s v="Female"/>
    <s v="Graduate"/>
    <s v="USA"/>
    <n v="5.4"/>
    <x v="0"/>
    <s v="Yes"/>
    <n v="6.9"/>
    <n v="6"/>
    <s v="In Relationship"/>
    <n v="3"/>
    <n v="7"/>
    <s v="Instagram"/>
    <n v="1"/>
    <s v="6.9"/>
    <s v="OK"/>
    <b v="1"/>
    <s v="High"/>
    <s v="7"/>
    <n v="3.6"/>
    <b v="1"/>
  </r>
  <r>
    <n v="612"/>
    <n v="19"/>
    <s v="Male"/>
    <s v="Undergraduate"/>
    <s v="Mexico"/>
    <n v="6.5"/>
    <x v="4"/>
    <s v="Yes"/>
    <n v="6.1"/>
    <n v="5"/>
    <s v="Single"/>
    <n v="4"/>
    <n v="8"/>
    <s v="Facebook"/>
    <n v="0"/>
    <s v="6.1"/>
    <s v="OK"/>
    <b v="1"/>
    <s v="High"/>
    <s v="8"/>
    <n v="3.6"/>
    <b v="1"/>
  </r>
  <r>
    <n v="613"/>
    <n v="24"/>
    <s v="Female"/>
    <s v="Graduate"/>
    <s v="France"/>
    <n v="4.8"/>
    <x v="1"/>
    <s v="No"/>
    <n v="7.3"/>
    <n v="7"/>
    <s v="In Relationship"/>
    <n v="2"/>
    <n v="5"/>
    <s v="Twitter"/>
    <n v="3"/>
    <s v="7.3"/>
    <s v="OK"/>
    <s v="medium"/>
    <s v="Medium"/>
    <s v="5"/>
    <n v="3.6"/>
    <b v="1"/>
  </r>
  <r>
    <n v="614"/>
    <n v="21"/>
    <s v="Male"/>
    <s v="Undergraduate"/>
    <s v="Canada"/>
    <n v="5.7"/>
    <x v="0"/>
    <s v="Yes"/>
    <n v="6.7"/>
    <n v="6"/>
    <s v="Single"/>
    <n v="3"/>
    <n v="7"/>
    <s v="Instagram"/>
    <n v="1"/>
    <s v="6.7"/>
    <s v="OK"/>
    <b v="1"/>
    <s v="High"/>
    <s v="7"/>
    <n v="3.5"/>
    <b v="1"/>
  </r>
  <r>
    <n v="615"/>
    <n v="23"/>
    <s v="Female"/>
    <s v="Graduate"/>
    <s v="UK"/>
    <n v="6.1"/>
    <x v="2"/>
    <s v="Yes"/>
    <n v="6.4"/>
    <n v="5"/>
    <s v="Single"/>
    <n v="4"/>
    <n v="8"/>
    <s v="Tiktok"/>
    <n v="2"/>
    <s v="6.4"/>
    <s v="OK"/>
    <b v="1"/>
    <s v="High"/>
    <s v="8"/>
    <n v="3.5"/>
    <b v="1"/>
  </r>
  <r>
    <n v="616"/>
    <n v="20"/>
    <s v="Male"/>
    <s v="Undergraduate"/>
    <s v="Italy"/>
    <n v="4.5999999999999996"/>
    <x v="4"/>
    <s v="No"/>
    <n v="7.2"/>
    <n v="7"/>
    <s v="In Relationship"/>
    <n v="2"/>
    <n v="5"/>
    <s v="Facebook"/>
    <n v="0"/>
    <s v="7.2"/>
    <s v="OK"/>
    <s v="medium"/>
    <s v="Medium"/>
    <s v="5"/>
    <n v="3.5"/>
    <b v="1"/>
  </r>
  <r>
    <n v="617"/>
    <n v="22"/>
    <s v="Female"/>
    <s v="Graduate"/>
    <s v="Russia"/>
    <n v="6.8"/>
    <x v="0"/>
    <s v="Yes"/>
    <n v="5.9"/>
    <n v="4"/>
    <s v="Single"/>
    <n v="5"/>
    <n v="9"/>
    <s v="Instagram"/>
    <n v="1"/>
    <s v="5.9"/>
    <s v="OK"/>
    <b v="1"/>
    <s v="High"/>
    <s v="9"/>
    <n v="3.5"/>
    <b v="1"/>
  </r>
  <r>
    <n v="618"/>
    <n v="19"/>
    <s v="Male"/>
    <s v="Undergraduate"/>
    <s v="China"/>
    <n v="5.6"/>
    <x v="11"/>
    <s v="Yes"/>
    <n v="6.8"/>
    <n v="6"/>
    <s v="In Relationship"/>
    <n v="3"/>
    <n v="7"/>
    <s v="Wechat"/>
    <n v="1"/>
    <s v="6.8"/>
    <s v="OK"/>
    <b v="1"/>
    <s v="High"/>
    <s v="7"/>
    <n v="3.5"/>
    <b v="1"/>
  </r>
  <r>
    <n v="619"/>
    <n v="24"/>
    <s v="Female"/>
    <s v="Graduate"/>
    <s v="Japan"/>
    <n v="4.2"/>
    <x v="1"/>
    <s v="No"/>
    <n v="7.5"/>
    <n v="8"/>
    <s v="Single"/>
    <n v="2"/>
    <n v="4"/>
    <s v="Twitter"/>
    <n v="3"/>
    <s v="7.5"/>
    <s v="OK"/>
    <s v="medium"/>
    <s v="Low"/>
    <s v="4"/>
    <n v="3.5"/>
    <b v="1"/>
  </r>
  <r>
    <n v="620"/>
    <n v="21"/>
    <s v="Male"/>
    <s v="Undergraduate"/>
    <s v="Poland"/>
    <n v="6.3"/>
    <x v="2"/>
    <s v="Yes"/>
    <n v="6.3"/>
    <n v="5"/>
    <s v="Single"/>
    <n v="4"/>
    <n v="8"/>
    <s v="Tiktok"/>
    <n v="2"/>
    <s v="6.3"/>
    <s v="OK"/>
    <b v="1"/>
    <s v="High"/>
    <s v="8"/>
    <n v="3.5"/>
    <b v="1"/>
  </r>
  <r>
    <n v="621"/>
    <n v="23"/>
    <s v="Female"/>
    <s v="Graduate"/>
    <s v="Finland"/>
    <n v="4.4000000000000004"/>
    <x v="0"/>
    <s v="No"/>
    <n v="7.4"/>
    <n v="7"/>
    <s v="In Relationship"/>
    <n v="2"/>
    <n v="5"/>
    <s v="Instagram"/>
    <n v="1"/>
    <s v="7.4"/>
    <s v="OK"/>
    <s v="medium"/>
    <s v="Medium"/>
    <s v="5"/>
    <n v="3.5"/>
    <b v="1"/>
  </r>
  <r>
    <n v="622"/>
    <n v="20"/>
    <s v="Male"/>
    <s v="Undergraduate"/>
    <s v="Spain"/>
    <n v="6.5"/>
    <x v="4"/>
    <s v="Yes"/>
    <n v="6.2"/>
    <n v="5"/>
    <s v="Single"/>
    <n v="4"/>
    <n v="8"/>
    <s v="Facebook"/>
    <n v="0"/>
    <s v="6.2"/>
    <s v="OK"/>
    <b v="1"/>
    <s v="High"/>
    <s v="8"/>
    <n v="3.5"/>
    <b v="1"/>
  </r>
  <r>
    <n v="623"/>
    <n v="22"/>
    <s v="Female"/>
    <s v="Graduate"/>
    <s v="Denmark"/>
    <n v="4.5999999999999996"/>
    <x v="1"/>
    <s v="No"/>
    <n v="7.3"/>
    <n v="7"/>
    <s v="In Relationship"/>
    <n v="2"/>
    <n v="5"/>
    <s v="Twitter"/>
    <n v="3"/>
    <s v="7.3"/>
    <s v="OK"/>
    <s v="medium"/>
    <s v="Medium"/>
    <s v="5"/>
    <n v="3.5"/>
    <b v="1"/>
  </r>
  <r>
    <n v="624"/>
    <n v="19"/>
    <s v="Male"/>
    <s v="Undergraduate"/>
    <s v="Ireland"/>
    <n v="5.8"/>
    <x v="0"/>
    <s v="Yes"/>
    <n v="6.6"/>
    <n v="6"/>
    <s v="Single"/>
    <n v="3"/>
    <n v="7"/>
    <s v="Instagram"/>
    <n v="1"/>
    <s v="6.6"/>
    <s v="OK"/>
    <b v="1"/>
    <s v="High"/>
    <s v="7"/>
    <n v="3.4"/>
    <b v="1"/>
  </r>
  <r>
    <n v="625"/>
    <n v="24"/>
    <s v="Female"/>
    <s v="Graduate"/>
    <s v="India"/>
    <n v="7"/>
    <x v="2"/>
    <s v="Yes"/>
    <n v="5.8"/>
    <n v="4"/>
    <s v="Single"/>
    <n v="5"/>
    <n v="9"/>
    <s v="Tiktok"/>
    <n v="2"/>
    <s v="5.8"/>
    <s v="OK"/>
    <b v="1"/>
    <s v="High"/>
    <s v="9"/>
    <n v="3.4"/>
    <b v="1"/>
  </r>
  <r>
    <n v="626"/>
    <n v="21"/>
    <s v="Male"/>
    <s v="Undergraduate"/>
    <s v="Switzerland"/>
    <n v="4.5"/>
    <x v="4"/>
    <s v="No"/>
    <n v="7.3"/>
    <n v="7"/>
    <s v="In Relationship"/>
    <n v="2"/>
    <n v="5"/>
    <s v="Facebook"/>
    <n v="0"/>
    <s v="7.3"/>
    <s v="OK"/>
    <s v="medium"/>
    <s v="Medium"/>
    <s v="5"/>
    <n v="3.4"/>
    <b v="1"/>
  </r>
  <r>
    <n v="627"/>
    <n v="23"/>
    <s v="Female"/>
    <s v="Graduate"/>
    <s v="Turkey"/>
    <n v="6.7"/>
    <x v="0"/>
    <s v="Yes"/>
    <n v="6.1"/>
    <n v="5"/>
    <s v="Single"/>
    <n v="4"/>
    <n v="8"/>
    <s v="Instagram"/>
    <n v="1"/>
    <s v="6.1"/>
    <s v="OK"/>
    <b v="1"/>
    <s v="High"/>
    <s v="8"/>
    <n v="3.4"/>
    <b v="1"/>
  </r>
  <r>
    <n v="628"/>
    <n v="20"/>
    <s v="Male"/>
    <s v="Undergraduate"/>
    <s v="USA"/>
    <n v="5.5"/>
    <x v="1"/>
    <s v="Yes"/>
    <n v="6.8"/>
    <n v="6"/>
    <s v="In Relationship"/>
    <n v="3"/>
    <n v="7"/>
    <s v="Twitter"/>
    <n v="3"/>
    <s v="6.8"/>
    <s v="OK"/>
    <b v="1"/>
    <s v="High"/>
    <s v="7"/>
    <n v="3.4"/>
    <b v="1"/>
  </r>
  <r>
    <n v="629"/>
    <n v="22"/>
    <s v="Female"/>
    <s v="Graduate"/>
    <s v="Mexico"/>
    <n v="6.4"/>
    <x v="4"/>
    <s v="Yes"/>
    <n v="6.2"/>
    <n v="5"/>
    <s v="Single"/>
    <n v="4"/>
    <n v="8"/>
    <s v="Facebook"/>
    <n v="0"/>
    <s v="6.2"/>
    <s v="OK"/>
    <b v="1"/>
    <s v="High"/>
    <s v="8"/>
    <n v="3.4"/>
    <b v="1"/>
  </r>
  <r>
    <n v="630"/>
    <n v="19"/>
    <s v="Male"/>
    <s v="Undergraduate"/>
    <s v="France"/>
    <n v="4.7"/>
    <x v="0"/>
    <s v="No"/>
    <n v="7.2"/>
    <n v="7"/>
    <s v="In Relationship"/>
    <n v="2"/>
    <n v="5"/>
    <s v="Instagram"/>
    <n v="1"/>
    <s v="7.2"/>
    <s v="OK"/>
    <s v="medium"/>
    <s v="Medium"/>
    <s v="5"/>
    <n v="3.4"/>
    <b v="1"/>
  </r>
  <r>
    <n v="631"/>
    <n v="24"/>
    <s v="Female"/>
    <s v="Graduate"/>
    <s v="Canada"/>
    <n v="5.6"/>
    <x v="2"/>
    <s v="Yes"/>
    <n v="6.7"/>
    <n v="6"/>
    <s v="Single"/>
    <n v="3"/>
    <n v="7"/>
    <s v="Tiktok"/>
    <n v="2"/>
    <s v="6.7"/>
    <s v="OK"/>
    <b v="1"/>
    <s v="High"/>
    <s v="7"/>
    <n v="3.4"/>
    <b v="1"/>
  </r>
  <r>
    <n v="632"/>
    <n v="21"/>
    <s v="Male"/>
    <s v="Undergraduate"/>
    <s v="UK"/>
    <n v="6.2"/>
    <x v="4"/>
    <s v="Yes"/>
    <n v="6.3"/>
    <n v="5"/>
    <s v="Single"/>
    <n v="4"/>
    <n v="8"/>
    <s v="Facebook"/>
    <n v="0"/>
    <s v="6.3"/>
    <s v="OK"/>
    <b v="1"/>
    <s v="High"/>
    <s v="8"/>
    <n v="3.3"/>
    <b v="1"/>
  </r>
  <r>
    <n v="633"/>
    <n v="23"/>
    <s v="Female"/>
    <s v="Graduate"/>
    <s v="Italy"/>
    <n v="4.8"/>
    <x v="1"/>
    <s v="No"/>
    <n v="7.1"/>
    <n v="7"/>
    <s v="In Relationship"/>
    <n v="2"/>
    <n v="5"/>
    <s v="Twitter"/>
    <n v="3"/>
    <s v="7.1"/>
    <s v="OK"/>
    <s v="medium"/>
    <s v="Medium"/>
    <s v="5"/>
    <n v="3.3"/>
    <b v="1"/>
  </r>
  <r>
    <n v="634"/>
    <n v="20"/>
    <s v="Male"/>
    <s v="Undergraduate"/>
    <s v="Russia"/>
    <n v="6.9"/>
    <x v="0"/>
    <s v="Yes"/>
    <n v="5.9"/>
    <n v="4"/>
    <s v="Single"/>
    <n v="5"/>
    <n v="9"/>
    <s v="Instagram"/>
    <n v="1"/>
    <s v="5.9"/>
    <s v="OK"/>
    <b v="1"/>
    <s v="High"/>
    <s v="9"/>
    <n v="3.3"/>
    <b v="1"/>
  </r>
  <r>
    <n v="635"/>
    <n v="22"/>
    <s v="Female"/>
    <s v="Graduate"/>
    <s v="China"/>
    <n v="5.7"/>
    <x v="11"/>
    <s v="Yes"/>
    <n v="6.7"/>
    <n v="6"/>
    <s v="In Relationship"/>
    <n v="3"/>
    <n v="7"/>
    <s v="Wechat"/>
    <n v="1"/>
    <s v="6.7"/>
    <s v="OK"/>
    <b v="1"/>
    <s v="High"/>
    <s v="7"/>
    <n v="3.3"/>
    <b v="1"/>
  </r>
  <r>
    <n v="636"/>
    <n v="19"/>
    <s v="Male"/>
    <s v="Undergraduate"/>
    <s v="Japan"/>
    <n v="4.4000000000000004"/>
    <x v="1"/>
    <s v="No"/>
    <n v="7.4"/>
    <n v="8"/>
    <s v="Single"/>
    <n v="2"/>
    <n v="4"/>
    <s v="Twitter"/>
    <n v="3"/>
    <s v="7.4"/>
    <s v="OK"/>
    <s v="medium"/>
    <s v="Low"/>
    <s v="4"/>
    <n v="3.3"/>
    <b v="1"/>
  </r>
  <r>
    <n v="637"/>
    <n v="24"/>
    <s v="Female"/>
    <s v="Graduate"/>
    <s v="Poland"/>
    <n v="6.1"/>
    <x v="2"/>
    <s v="Yes"/>
    <n v="6.4"/>
    <n v="5"/>
    <s v="Single"/>
    <n v="4"/>
    <n v="8"/>
    <s v="Tiktok"/>
    <n v="2"/>
    <s v="6.4"/>
    <s v="OK"/>
    <b v="1"/>
    <s v="High"/>
    <s v="8"/>
    <n v="3.3"/>
    <b v="1"/>
  </r>
  <r>
    <n v="638"/>
    <n v="21"/>
    <s v="Male"/>
    <s v="Undergraduate"/>
    <s v="Finland"/>
    <n v="4.3"/>
    <x v="0"/>
    <s v="No"/>
    <n v="7.5"/>
    <n v="7"/>
    <s v="In Relationship"/>
    <n v="2"/>
    <n v="5"/>
    <s v="Instagram"/>
    <n v="1"/>
    <s v="7.5"/>
    <s v="OK"/>
    <s v="medium"/>
    <s v="Medium"/>
    <s v="5"/>
    <n v="3.3"/>
    <b v="1"/>
  </r>
  <r>
    <n v="639"/>
    <n v="23"/>
    <s v="Female"/>
    <s v="Graduate"/>
    <s v="Spain"/>
    <n v="6.4"/>
    <x v="4"/>
    <s v="Yes"/>
    <n v="6.2"/>
    <n v="5"/>
    <s v="Single"/>
    <n v="4"/>
    <n v="8"/>
    <s v="Facebook"/>
    <n v="0"/>
    <s v="6.2"/>
    <s v="OK"/>
    <b v="1"/>
    <s v="High"/>
    <s v="8"/>
    <n v="3.3"/>
    <b v="1"/>
  </r>
  <r>
    <n v="640"/>
    <n v="20"/>
    <s v="Male"/>
    <s v="Undergraduate"/>
    <s v="Denmark"/>
    <n v="4.5"/>
    <x v="1"/>
    <s v="No"/>
    <n v="7.3"/>
    <n v="7"/>
    <s v="In Relationship"/>
    <n v="2"/>
    <n v="5"/>
    <s v="Twitter"/>
    <n v="3"/>
    <s v="7.3"/>
    <s v="OK"/>
    <s v="medium"/>
    <s v="Medium"/>
    <s v="5"/>
    <n v="3.3"/>
    <b v="1"/>
  </r>
  <r>
    <n v="641"/>
    <n v="22"/>
    <s v="Female"/>
    <s v="Graduate"/>
    <s v="Ireland"/>
    <n v="5.9"/>
    <x v="0"/>
    <s v="Yes"/>
    <n v="6.5"/>
    <n v="6"/>
    <s v="Single"/>
    <n v="3"/>
    <n v="7"/>
    <s v="Instagram"/>
    <n v="1"/>
    <s v="6.5"/>
    <s v="OK"/>
    <b v="1"/>
    <s v="High"/>
    <s v="7"/>
    <n v="3.2"/>
    <b v="1"/>
  </r>
  <r>
    <n v="642"/>
    <n v="19"/>
    <s v="Male"/>
    <s v="Undergraduate"/>
    <s v="India"/>
    <n v="7.2"/>
    <x v="2"/>
    <s v="Yes"/>
    <n v="5.7"/>
    <n v="4"/>
    <s v="Single"/>
    <n v="5"/>
    <n v="9"/>
    <s v="Tiktok"/>
    <n v="2"/>
    <s v="5.7"/>
    <s v="OK"/>
    <b v="1"/>
    <s v="High"/>
    <s v="9"/>
    <n v="3.2"/>
    <b v="1"/>
  </r>
  <r>
    <n v="643"/>
    <n v="24"/>
    <s v="Female"/>
    <s v="Graduate"/>
    <s v="Switzerland"/>
    <n v="4.5999999999999996"/>
    <x v="4"/>
    <s v="No"/>
    <n v="7.2"/>
    <n v="7"/>
    <s v="In Relationship"/>
    <n v="2"/>
    <n v="5"/>
    <s v="Facebook"/>
    <n v="0"/>
    <s v="7.2"/>
    <s v="OK"/>
    <s v="medium"/>
    <s v="Medium"/>
    <s v="5"/>
    <n v="3.2"/>
    <b v="1"/>
  </r>
  <r>
    <n v="644"/>
    <n v="21"/>
    <s v="Male"/>
    <s v="Undergraduate"/>
    <s v="Turkey"/>
    <n v="6.8"/>
    <x v="0"/>
    <s v="Yes"/>
    <n v="6"/>
    <n v="5"/>
    <s v="Single"/>
    <n v="4"/>
    <n v="8"/>
    <s v="Instagram"/>
    <n v="1"/>
    <s v="6"/>
    <s v="OK"/>
    <b v="1"/>
    <s v="High"/>
    <s v="8"/>
    <n v="3.2"/>
    <b v="1"/>
  </r>
  <r>
    <n v="645"/>
    <n v="23"/>
    <s v="Female"/>
    <s v="Graduate"/>
    <s v="USA"/>
    <n v="5.3"/>
    <x v="1"/>
    <s v="Yes"/>
    <n v="6.8"/>
    <n v="6"/>
    <s v="In Relationship"/>
    <n v="3"/>
    <n v="7"/>
    <s v="Twitter"/>
    <n v="3"/>
    <s v="6.8"/>
    <s v="OK"/>
    <b v="1"/>
    <s v="High"/>
    <s v="7"/>
    <n v="3.2"/>
    <b v="1"/>
  </r>
  <r>
    <n v="646"/>
    <n v="22"/>
    <s v="Male"/>
    <s v="Graduate"/>
    <s v="Mexico"/>
    <n v="6.3"/>
    <x v="4"/>
    <s v="Yes"/>
    <n v="6.2"/>
    <n v="5"/>
    <s v="Single"/>
    <n v="4"/>
    <n v="8"/>
    <s v="Facebook"/>
    <n v="0"/>
    <s v="6.2"/>
    <s v="OK"/>
    <b v="1"/>
    <s v="High"/>
    <s v="8"/>
    <n v="3.2"/>
    <b v="1"/>
  </r>
  <r>
    <n v="647"/>
    <n v="20"/>
    <s v="Female"/>
    <s v="Undergraduate"/>
    <s v="France"/>
    <n v="4.8"/>
    <x v="0"/>
    <s v="No"/>
    <n v="7.1"/>
    <n v="7"/>
    <s v="In Relationship"/>
    <n v="2"/>
    <n v="5"/>
    <s v="Instagram"/>
    <n v="1"/>
    <s v="7.1"/>
    <s v="OK"/>
    <s v="medium"/>
    <s v="Medium"/>
    <s v="5"/>
    <n v="3.2"/>
    <b v="1"/>
  </r>
  <r>
    <n v="648"/>
    <n v="23"/>
    <s v="Male"/>
    <s v="Graduate"/>
    <s v="Canada"/>
    <n v="5.7"/>
    <x v="2"/>
    <s v="Yes"/>
    <n v="6.6"/>
    <n v="6"/>
    <s v="Single"/>
    <n v="3"/>
    <n v="7"/>
    <s v="Tiktok"/>
    <n v="2"/>
    <s v="6.6"/>
    <s v="OK"/>
    <b v="1"/>
    <s v="High"/>
    <s v="7"/>
    <n v="3.2"/>
    <b v="1"/>
  </r>
  <r>
    <n v="649"/>
    <n v="21"/>
    <s v="Female"/>
    <s v="Undergraduate"/>
    <s v="UK"/>
    <n v="6.2"/>
    <x v="1"/>
    <s v="Yes"/>
    <n v="6.3"/>
    <n v="5"/>
    <s v="Single"/>
    <n v="4"/>
    <n v="8"/>
    <s v="Twitter"/>
    <n v="3"/>
    <s v="6.3"/>
    <s v="OK"/>
    <b v="1"/>
    <s v="High"/>
    <s v="8"/>
    <n v="3.2"/>
    <b v="1"/>
  </r>
  <r>
    <n v="650"/>
    <n v="24"/>
    <s v="Male"/>
    <s v="Graduate"/>
    <s v="Italy"/>
    <n v="4.7"/>
    <x v="4"/>
    <s v="No"/>
    <n v="7.2"/>
    <n v="7"/>
    <s v="In Relationship"/>
    <n v="2"/>
    <n v="5"/>
    <s v="Facebook"/>
    <n v="0"/>
    <s v="7.2"/>
    <s v="OK"/>
    <s v="medium"/>
    <s v="Medium"/>
    <s v="5"/>
    <n v="3.1"/>
    <b v="1"/>
  </r>
  <r>
    <n v="651"/>
    <n v="19"/>
    <s v="Female"/>
    <s v="Undergraduate"/>
    <s v="Russia"/>
    <n v="6.8"/>
    <x v="0"/>
    <s v="Yes"/>
    <n v="5.9"/>
    <n v="4"/>
    <s v="Single"/>
    <n v="5"/>
    <n v="9"/>
    <s v="Instagram"/>
    <n v="1"/>
    <s v="5.9"/>
    <s v="OK"/>
    <b v="1"/>
    <s v="High"/>
    <s v="9"/>
    <n v="3.1"/>
    <b v="1"/>
  </r>
  <r>
    <n v="652"/>
    <n v="22"/>
    <s v="Male"/>
    <s v="Graduate"/>
    <s v="China"/>
    <n v="5.6"/>
    <x v="11"/>
    <s v="Yes"/>
    <n v="6.7"/>
    <n v="6"/>
    <s v="In Relationship"/>
    <n v="3"/>
    <n v="7"/>
    <s v="Wechat"/>
    <n v="1"/>
    <s v="6.7"/>
    <s v="OK"/>
    <b v="1"/>
    <s v="High"/>
    <s v="7"/>
    <n v="3.1"/>
    <b v="1"/>
  </r>
  <r>
    <n v="653"/>
    <n v="20"/>
    <s v="Female"/>
    <s v="Undergraduate"/>
    <s v="Japan"/>
    <n v="4.3"/>
    <x v="1"/>
    <s v="No"/>
    <n v="7.5"/>
    <n v="8"/>
    <s v="Single"/>
    <n v="2"/>
    <n v="4"/>
    <s v="Twitter"/>
    <n v="3"/>
    <s v="7.5"/>
    <s v="OK"/>
    <s v="medium"/>
    <s v="Low"/>
    <s v="4"/>
    <n v="3.1"/>
    <b v="1"/>
  </r>
  <r>
    <n v="654"/>
    <n v="23"/>
    <s v="Male"/>
    <s v="Graduate"/>
    <s v="Poland"/>
    <n v="6.2"/>
    <x v="2"/>
    <s v="Yes"/>
    <n v="6.3"/>
    <n v="5"/>
    <s v="Single"/>
    <n v="4"/>
    <n v="8"/>
    <s v="Tiktok"/>
    <n v="2"/>
    <s v="6.3"/>
    <s v="OK"/>
    <b v="1"/>
    <s v="High"/>
    <s v="8"/>
    <n v="3.1"/>
    <b v="1"/>
  </r>
  <r>
    <n v="655"/>
    <n v="21"/>
    <s v="Female"/>
    <s v="Undergraduate"/>
    <s v="Finland"/>
    <n v="4.4000000000000004"/>
    <x v="0"/>
    <s v="No"/>
    <n v="7.4"/>
    <n v="7"/>
    <s v="In Relationship"/>
    <n v="2"/>
    <n v="5"/>
    <s v="Instagram"/>
    <n v="1"/>
    <s v="7.4"/>
    <s v="OK"/>
    <s v="medium"/>
    <s v="Medium"/>
    <s v="5"/>
    <n v="3.1"/>
    <b v="1"/>
  </r>
  <r>
    <n v="656"/>
    <n v="24"/>
    <s v="Male"/>
    <s v="Graduate"/>
    <s v="Spain"/>
    <n v="6.5"/>
    <x v="4"/>
    <s v="Yes"/>
    <n v="6.1"/>
    <n v="5"/>
    <s v="Single"/>
    <n v="4"/>
    <n v="8"/>
    <s v="Facebook"/>
    <n v="0"/>
    <s v="6.1"/>
    <s v="OK"/>
    <b v="1"/>
    <s v="High"/>
    <s v="8"/>
    <n v="3.1"/>
    <b v="1"/>
  </r>
  <r>
    <n v="657"/>
    <n v="19"/>
    <s v="Female"/>
    <s v="Undergraduate"/>
    <s v="Denmark"/>
    <n v="4.5999999999999996"/>
    <x v="1"/>
    <s v="No"/>
    <n v="7.3"/>
    <n v="7"/>
    <s v="In Relationship"/>
    <n v="2"/>
    <n v="5"/>
    <s v="Twitter"/>
    <n v="3"/>
    <s v="7.3"/>
    <s v="OK"/>
    <s v="medium"/>
    <s v="Medium"/>
    <s v="5"/>
    <n v="3"/>
    <b v="1"/>
  </r>
  <r>
    <n v="658"/>
    <n v="22"/>
    <s v="Male"/>
    <s v="Graduate"/>
    <s v="Ireland"/>
    <n v="5.8"/>
    <x v="0"/>
    <s v="Yes"/>
    <n v="6.6"/>
    <n v="6"/>
    <s v="Single"/>
    <n v="3"/>
    <n v="7"/>
    <s v="Instagram"/>
    <n v="1"/>
    <s v="6.6"/>
    <s v="OK"/>
    <b v="1"/>
    <s v="High"/>
    <s v="7"/>
    <n v="3"/>
    <b v="1"/>
  </r>
  <r>
    <n v="659"/>
    <n v="20"/>
    <s v="Female"/>
    <s v="Undergraduate"/>
    <s v="India"/>
    <n v="7.1"/>
    <x v="2"/>
    <s v="Yes"/>
    <n v="5.8"/>
    <n v="4"/>
    <s v="Single"/>
    <n v="5"/>
    <n v="9"/>
    <s v="Tiktok"/>
    <n v="2"/>
    <s v="5.8"/>
    <s v="OK"/>
    <b v="1"/>
    <s v="High"/>
    <s v="9"/>
    <n v="3"/>
    <b v="1"/>
  </r>
  <r>
    <n v="660"/>
    <n v="23"/>
    <s v="Male"/>
    <s v="Graduate"/>
    <s v="Switzerland"/>
    <n v="4.5"/>
    <x v="4"/>
    <s v="No"/>
    <n v="7.3"/>
    <n v="7"/>
    <s v="In Relationship"/>
    <n v="2"/>
    <n v="5"/>
    <s v="Facebook"/>
    <n v="0"/>
    <s v="7.3"/>
    <s v="OK"/>
    <s v="medium"/>
    <s v="Medium"/>
    <s v="5"/>
    <n v="3"/>
    <b v="1"/>
  </r>
  <r>
    <n v="661"/>
    <n v="21"/>
    <s v="Female"/>
    <s v="Undergraduate"/>
    <s v="Turkey"/>
    <n v="6.7"/>
    <x v="0"/>
    <s v="Yes"/>
    <n v="6"/>
    <n v="5"/>
    <s v="Single"/>
    <n v="4"/>
    <n v="8"/>
    <s v="Instagram"/>
    <n v="1"/>
    <s v="6"/>
    <s v="OK"/>
    <b v="1"/>
    <s v="High"/>
    <s v="8"/>
    <n v="3"/>
    <b v="1"/>
  </r>
  <r>
    <n v="662"/>
    <n v="24"/>
    <s v="Male"/>
    <s v="Graduate"/>
    <s v="USA"/>
    <n v="5.4"/>
    <x v="1"/>
    <s v="Yes"/>
    <n v="6.8"/>
    <n v="6"/>
    <s v="In Relationship"/>
    <n v="3"/>
    <n v="7"/>
    <s v="Twitter"/>
    <n v="3"/>
    <s v="6.8"/>
    <s v="OK"/>
    <b v="1"/>
    <s v="High"/>
    <s v="7"/>
    <n v="3"/>
    <b v="1"/>
  </r>
  <r>
    <n v="663"/>
    <n v="19"/>
    <s v="Female"/>
    <s v="Undergraduate"/>
    <s v="Mexico"/>
    <n v="6.4"/>
    <x v="2"/>
    <s v="Yes"/>
    <n v="6.2"/>
    <n v="5"/>
    <s v="Single"/>
    <n v="4"/>
    <n v="8"/>
    <s v="Tiktok"/>
    <n v="2"/>
    <s v="6.2"/>
    <s v="OK"/>
    <b v="1"/>
    <s v="High"/>
    <s v="8"/>
    <n v="2.9"/>
    <b v="1"/>
  </r>
  <r>
    <n v="664"/>
    <n v="22"/>
    <s v="Male"/>
    <s v="Graduate"/>
    <s v="France"/>
    <n v="4.7"/>
    <x v="4"/>
    <s v="No"/>
    <n v="7.2"/>
    <n v="7"/>
    <s v="In Relationship"/>
    <n v="2"/>
    <n v="5"/>
    <s v="Facebook"/>
    <n v="0"/>
    <s v="7.2"/>
    <s v="OK"/>
    <s v="medium"/>
    <s v="Medium"/>
    <s v="5"/>
    <n v="2.9"/>
    <b v="1"/>
  </r>
  <r>
    <n v="665"/>
    <n v="20"/>
    <s v="Female"/>
    <s v="Undergraduate"/>
    <s v="Canada"/>
    <n v="5.6"/>
    <x v="0"/>
    <s v="Yes"/>
    <n v="6.7"/>
    <n v="6"/>
    <s v="Single"/>
    <n v="3"/>
    <n v="7"/>
    <s v="Instagram"/>
    <n v="1"/>
    <s v="6.7"/>
    <s v="OK"/>
    <b v="1"/>
    <s v="High"/>
    <s v="7"/>
    <n v="2.9"/>
    <b v="1"/>
  </r>
  <r>
    <n v="666"/>
    <n v="23"/>
    <s v="Male"/>
    <s v="Graduate"/>
    <s v="UK"/>
    <n v="6.3"/>
    <x v="1"/>
    <s v="Yes"/>
    <n v="6.2"/>
    <n v="5"/>
    <s v="Single"/>
    <n v="4"/>
    <n v="8"/>
    <s v="Twitter"/>
    <n v="3"/>
    <s v="6.2"/>
    <s v="OK"/>
    <b v="1"/>
    <s v="High"/>
    <s v="8"/>
    <n v="2.9"/>
    <b v="1"/>
  </r>
  <r>
    <n v="667"/>
    <n v="21"/>
    <s v="Female"/>
    <s v="Undergraduate"/>
    <s v="Italy"/>
    <n v="4.8"/>
    <x v="2"/>
    <s v="No"/>
    <n v="7.1"/>
    <n v="7"/>
    <s v="In Relationship"/>
    <n v="2"/>
    <n v="5"/>
    <s v="Tiktok"/>
    <n v="2"/>
    <s v="7.1"/>
    <s v="OK"/>
    <s v="medium"/>
    <s v="Medium"/>
    <s v="5"/>
    <n v="2.9"/>
    <b v="1"/>
  </r>
  <r>
    <n v="668"/>
    <n v="24"/>
    <s v="Male"/>
    <s v="Graduate"/>
    <s v="Russia"/>
    <n v="6.9"/>
    <x v="0"/>
    <s v="Yes"/>
    <n v="5.9"/>
    <n v="4"/>
    <s v="Single"/>
    <n v="5"/>
    <n v="9"/>
    <s v="Instagram"/>
    <n v="1"/>
    <s v="5.9"/>
    <s v="OK"/>
    <b v="1"/>
    <s v="High"/>
    <s v="9"/>
    <n v="2.9"/>
    <b v="1"/>
  </r>
  <r>
    <n v="669"/>
    <n v="19"/>
    <s v="Female"/>
    <s v="Undergraduate"/>
    <s v="China"/>
    <n v="5.7"/>
    <x v="11"/>
    <s v="Yes"/>
    <n v="6.7"/>
    <n v="6"/>
    <s v="In Relationship"/>
    <n v="3"/>
    <n v="7"/>
    <s v="Wechat"/>
    <n v="1"/>
    <s v="6.7"/>
    <s v="OK"/>
    <b v="1"/>
    <s v="High"/>
    <s v="7"/>
    <n v="2.9"/>
    <b v="1"/>
  </r>
  <r>
    <n v="670"/>
    <n v="22"/>
    <s v="Male"/>
    <s v="Graduate"/>
    <s v="Japan"/>
    <n v="4.4000000000000004"/>
    <x v="1"/>
    <s v="No"/>
    <n v="7.4"/>
    <n v="8"/>
    <s v="Single"/>
    <n v="2"/>
    <n v="4"/>
    <s v="Twitter"/>
    <n v="3"/>
    <s v="7.4"/>
    <s v="OK"/>
    <s v="medium"/>
    <s v="Low"/>
    <s v="4"/>
    <n v="2.8"/>
    <b v="1"/>
  </r>
  <r>
    <n v="671"/>
    <n v="20"/>
    <s v="Female"/>
    <s v="Undergraduate"/>
    <s v="Poland"/>
    <n v="6.1"/>
    <x v="4"/>
    <s v="Yes"/>
    <n v="6.4"/>
    <n v="5"/>
    <s v="Single"/>
    <n v="4"/>
    <n v="8"/>
    <s v="Facebook"/>
    <n v="0"/>
    <s v="6.4"/>
    <s v="OK"/>
    <b v="1"/>
    <s v="High"/>
    <s v="8"/>
    <n v="2.8"/>
    <b v="1"/>
  </r>
  <r>
    <n v="672"/>
    <n v="23"/>
    <s v="Male"/>
    <s v="Graduate"/>
    <s v="Finland"/>
    <n v="4.3"/>
    <x v="0"/>
    <s v="No"/>
    <n v="7.5"/>
    <n v="7"/>
    <s v="In Relationship"/>
    <n v="2"/>
    <n v="5"/>
    <s v="Instagram"/>
    <n v="1"/>
    <s v="7.5"/>
    <s v="OK"/>
    <s v="medium"/>
    <s v="Medium"/>
    <s v="5"/>
    <n v="2.8"/>
    <b v="1"/>
  </r>
  <r>
    <n v="673"/>
    <n v="21"/>
    <s v="Female"/>
    <s v="Undergraduate"/>
    <s v="Spain"/>
    <n v="6.4"/>
    <x v="2"/>
    <s v="Yes"/>
    <n v="6.2"/>
    <n v="5"/>
    <s v="Single"/>
    <n v="4"/>
    <n v="8"/>
    <s v="Tiktok"/>
    <n v="2"/>
    <s v="6.2"/>
    <s v="OK"/>
    <b v="1"/>
    <s v="High"/>
    <s v="8"/>
    <n v="2.8"/>
    <b v="1"/>
  </r>
  <r>
    <n v="674"/>
    <n v="24"/>
    <s v="Male"/>
    <s v="Graduate"/>
    <s v="Denmark"/>
    <n v="4.5"/>
    <x v="1"/>
    <s v="No"/>
    <n v="7.3"/>
    <n v="7"/>
    <s v="In Relationship"/>
    <n v="2"/>
    <n v="5"/>
    <s v="Twitter"/>
    <n v="3"/>
    <s v="7.3"/>
    <s v="OK"/>
    <s v="medium"/>
    <s v="Medium"/>
    <s v="5"/>
    <n v="2.8"/>
    <b v="1"/>
  </r>
  <r>
    <n v="675"/>
    <n v="19"/>
    <s v="Female"/>
    <s v="Undergraduate"/>
    <s v="Ireland"/>
    <n v="5.9"/>
    <x v="0"/>
    <s v="Yes"/>
    <n v="6.5"/>
    <n v="6"/>
    <s v="Single"/>
    <n v="3"/>
    <n v="7"/>
    <s v="Instagram"/>
    <n v="1"/>
    <s v="6.5"/>
    <s v="OK"/>
    <b v="1"/>
    <s v="High"/>
    <s v="7"/>
    <n v="2.8"/>
    <b v="1"/>
  </r>
  <r>
    <n v="676"/>
    <n v="22"/>
    <s v="Male"/>
    <s v="Graduate"/>
    <s v="India"/>
    <n v="7.2"/>
    <x v="4"/>
    <s v="Yes"/>
    <n v="5.7"/>
    <n v="4"/>
    <s v="Single"/>
    <n v="5"/>
    <n v="9"/>
    <s v="Facebook"/>
    <n v="0"/>
    <s v="5.7"/>
    <s v="OK"/>
    <b v="1"/>
    <s v="High"/>
    <s v="9"/>
    <n v="2.8"/>
    <b v="1"/>
  </r>
  <r>
    <n v="677"/>
    <n v="20"/>
    <s v="Female"/>
    <s v="Undergraduate"/>
    <s v="Switzerland"/>
    <n v="4.5999999999999996"/>
    <x v="2"/>
    <s v="No"/>
    <n v="7.2"/>
    <n v="7"/>
    <s v="In Relationship"/>
    <n v="2"/>
    <n v="5"/>
    <s v="Tiktok"/>
    <n v="2"/>
    <s v="7.2"/>
    <s v="OK"/>
    <s v="medium"/>
    <s v="Medium"/>
    <s v="5"/>
    <n v="2.8"/>
    <b v="1"/>
  </r>
  <r>
    <n v="678"/>
    <n v="23"/>
    <s v="Male"/>
    <s v="Graduate"/>
    <s v="Turkey"/>
    <n v="6.8"/>
    <x v="0"/>
    <s v="Yes"/>
    <n v="6"/>
    <n v="5"/>
    <s v="Single"/>
    <n v="4"/>
    <n v="8"/>
    <s v="Instagram"/>
    <n v="1"/>
    <s v="6"/>
    <s v="OK"/>
    <b v="1"/>
    <s v="High"/>
    <s v="8"/>
    <n v="2.7"/>
    <b v="1"/>
  </r>
  <r>
    <n v="679"/>
    <n v="21"/>
    <s v="Female"/>
    <s v="Undergraduate"/>
    <s v="USA"/>
    <n v="5.3"/>
    <x v="1"/>
    <s v="Yes"/>
    <n v="6.8"/>
    <n v="6"/>
    <s v="In Relationship"/>
    <n v="3"/>
    <n v="7"/>
    <s v="Twitter"/>
    <n v="3"/>
    <s v="6.8"/>
    <s v="OK"/>
    <b v="1"/>
    <s v="High"/>
    <s v="7"/>
    <n v="2.7"/>
    <b v="1"/>
  </r>
  <r>
    <n v="680"/>
    <n v="24"/>
    <s v="Male"/>
    <s v="Graduate"/>
    <s v="Mexico"/>
    <n v="6.2"/>
    <x v="4"/>
    <s v="Yes"/>
    <n v="6.3"/>
    <n v="5"/>
    <s v="Single"/>
    <n v="4"/>
    <n v="8"/>
    <s v="Facebook"/>
    <n v="0"/>
    <s v="6.3"/>
    <s v="OK"/>
    <b v="1"/>
    <s v="High"/>
    <s v="8"/>
    <n v="2.7"/>
    <b v="1"/>
  </r>
  <r>
    <n v="681"/>
    <n v="19"/>
    <s v="Female"/>
    <s v="Undergraduate"/>
    <s v="France"/>
    <n v="4.7"/>
    <x v="0"/>
    <s v="No"/>
    <n v="7.2"/>
    <n v="7"/>
    <s v="In Relationship"/>
    <n v="2"/>
    <n v="5"/>
    <s v="Instagram"/>
    <n v="1"/>
    <s v="7.2"/>
    <s v="OK"/>
    <s v="medium"/>
    <s v="Medium"/>
    <s v="5"/>
    <n v="2.7"/>
    <b v="1"/>
  </r>
  <r>
    <n v="682"/>
    <n v="22"/>
    <s v="Male"/>
    <s v="Graduate"/>
    <s v="Canada"/>
    <n v="5.8"/>
    <x v="2"/>
    <s v="Yes"/>
    <n v="6.6"/>
    <n v="6"/>
    <s v="Single"/>
    <n v="3"/>
    <n v="7"/>
    <s v="Tiktok"/>
    <n v="2"/>
    <s v="6.6"/>
    <s v="OK"/>
    <b v="1"/>
    <s v="High"/>
    <s v="7"/>
    <n v="2.7"/>
    <b v="1"/>
  </r>
  <r>
    <n v="683"/>
    <n v="20"/>
    <s v="Female"/>
    <s v="Undergraduate"/>
    <s v="UK"/>
    <n v="6.1"/>
    <x v="1"/>
    <s v="Yes"/>
    <n v="6.4"/>
    <n v="5"/>
    <s v="Single"/>
    <n v="4"/>
    <n v="8"/>
    <s v="Twitter"/>
    <n v="3"/>
    <s v="6.4"/>
    <s v="OK"/>
    <b v="1"/>
    <s v="High"/>
    <s v="8"/>
    <n v="2.6"/>
    <b v="1"/>
  </r>
  <r>
    <n v="684"/>
    <n v="23"/>
    <s v="Male"/>
    <s v="Graduate"/>
    <s v="Italy"/>
    <n v="4.8"/>
    <x v="4"/>
    <s v="No"/>
    <n v="7.1"/>
    <n v="7"/>
    <s v="In Relationship"/>
    <n v="2"/>
    <n v="5"/>
    <s v="Facebook"/>
    <n v="0"/>
    <s v="7.1"/>
    <s v="OK"/>
    <s v="medium"/>
    <s v="Medium"/>
    <s v="5"/>
    <n v="2.6"/>
    <b v="1"/>
  </r>
  <r>
    <n v="685"/>
    <n v="21"/>
    <s v="Female"/>
    <s v="Undergraduate"/>
    <s v="Russia"/>
    <n v="6.7"/>
    <x v="0"/>
    <s v="Yes"/>
    <n v="6"/>
    <n v="4"/>
    <s v="Single"/>
    <n v="5"/>
    <n v="9"/>
    <s v="Instagram"/>
    <n v="1"/>
    <s v="6"/>
    <s v="OK"/>
    <b v="1"/>
    <s v="High"/>
    <s v="9"/>
    <n v="2.6"/>
    <b v="1"/>
  </r>
  <r>
    <n v="686"/>
    <n v="24"/>
    <s v="Male"/>
    <s v="Graduate"/>
    <s v="China"/>
    <n v="5.5"/>
    <x v="11"/>
    <s v="Yes"/>
    <n v="6.8"/>
    <n v="6"/>
    <s v="In Relationship"/>
    <n v="3"/>
    <n v="7"/>
    <s v="Wechat"/>
    <n v="1"/>
    <s v="6.8"/>
    <s v="OK"/>
    <b v="1"/>
    <s v="High"/>
    <s v="7"/>
    <n v="2.6"/>
    <b v="1"/>
  </r>
  <r>
    <n v="687"/>
    <n v="19"/>
    <s v="Female"/>
    <s v="Undergraduate"/>
    <s v="Japan"/>
    <n v="4.2"/>
    <x v="1"/>
    <s v="No"/>
    <n v="7.5"/>
    <n v="8"/>
    <s v="Single"/>
    <n v="2"/>
    <n v="4"/>
    <s v="Twitter"/>
    <n v="3"/>
    <s v="7.5"/>
    <s v="OK"/>
    <s v="medium"/>
    <s v="Low"/>
    <s v="4"/>
    <n v="2.6"/>
    <b v="1"/>
  </r>
  <r>
    <n v="688"/>
    <n v="22"/>
    <s v="Male"/>
    <s v="Graduate"/>
    <s v="Poland"/>
    <n v="6.3"/>
    <x v="2"/>
    <s v="Yes"/>
    <n v="6.2"/>
    <n v="5"/>
    <s v="Single"/>
    <n v="4"/>
    <n v="8"/>
    <s v="Tiktok"/>
    <n v="2"/>
    <s v="6.2"/>
    <s v="OK"/>
    <b v="1"/>
    <s v="High"/>
    <s v="8"/>
    <n v="2.5"/>
    <b v="1"/>
  </r>
  <r>
    <n v="689"/>
    <n v="20"/>
    <s v="Female"/>
    <s v="Undergraduate"/>
    <s v="Finland"/>
    <n v="4.4000000000000004"/>
    <x v="0"/>
    <s v="No"/>
    <n v="7.4"/>
    <n v="7"/>
    <s v="In Relationship"/>
    <n v="2"/>
    <n v="5"/>
    <s v="Instagram"/>
    <n v="1"/>
    <s v="7.4"/>
    <s v="OK"/>
    <s v="medium"/>
    <s v="Medium"/>
    <s v="5"/>
    <n v="2.5"/>
    <b v="1"/>
  </r>
  <r>
    <n v="690"/>
    <n v="23"/>
    <s v="Male"/>
    <s v="Graduate"/>
    <s v="Spain"/>
    <n v="6.5"/>
    <x v="4"/>
    <s v="Yes"/>
    <n v="6.1"/>
    <n v="5"/>
    <s v="Single"/>
    <n v="4"/>
    <n v="8"/>
    <s v="Facebook"/>
    <n v="0"/>
    <s v="6.1"/>
    <s v="OK"/>
    <b v="1"/>
    <s v="High"/>
    <s v="8"/>
    <n v="2.5"/>
    <b v="1"/>
  </r>
  <r>
    <n v="691"/>
    <n v="21"/>
    <s v="Female"/>
    <s v="Undergraduate"/>
    <s v="Denmark"/>
    <n v="4.5999999999999996"/>
    <x v="1"/>
    <s v="No"/>
    <n v="7.3"/>
    <n v="7"/>
    <s v="In Relationship"/>
    <n v="2"/>
    <n v="5"/>
    <s v="Twitter"/>
    <n v="3"/>
    <s v="7.3"/>
    <s v="OK"/>
    <s v="medium"/>
    <s v="Medium"/>
    <s v="5"/>
    <n v="2.5"/>
    <b v="1"/>
  </r>
  <r>
    <n v="692"/>
    <n v="24"/>
    <s v="Male"/>
    <s v="Graduate"/>
    <s v="Ireland"/>
    <n v="5.9"/>
    <x v="0"/>
    <s v="Yes"/>
    <n v="6.5"/>
    <n v="6"/>
    <s v="Single"/>
    <n v="3"/>
    <n v="7"/>
    <s v="Instagram"/>
    <n v="1"/>
    <s v="6.5"/>
    <s v="OK"/>
    <b v="1"/>
    <s v="High"/>
    <s v="7"/>
    <n v="2.5"/>
    <b v="1"/>
  </r>
  <r>
    <n v="693"/>
    <n v="19"/>
    <s v="Female"/>
    <s v="Undergraduate"/>
    <s v="India"/>
    <n v="7"/>
    <x v="2"/>
    <s v="Yes"/>
    <n v="5.8"/>
    <n v="4"/>
    <s v="Single"/>
    <n v="5"/>
    <n v="9"/>
    <s v="Tiktok"/>
    <n v="2"/>
    <s v="5.8"/>
    <s v="OK"/>
    <b v="1"/>
    <s v="High"/>
    <s v="9"/>
    <n v="2.4"/>
    <b v="1"/>
  </r>
  <r>
    <n v="694"/>
    <n v="22"/>
    <s v="Male"/>
    <s v="Graduate"/>
    <s v="Switzerland"/>
    <n v="4.5"/>
    <x v="4"/>
    <s v="No"/>
    <n v="7.3"/>
    <n v="7"/>
    <s v="In Relationship"/>
    <n v="2"/>
    <n v="5"/>
    <s v="Facebook"/>
    <n v="0"/>
    <s v="7.3"/>
    <s v="OK"/>
    <s v="medium"/>
    <s v="Medium"/>
    <s v="5"/>
    <n v="2.4"/>
    <b v="1"/>
  </r>
  <r>
    <n v="695"/>
    <n v="20"/>
    <s v="Female"/>
    <s v="Undergraduate"/>
    <s v="Turkey"/>
    <n v="6.6"/>
    <x v="0"/>
    <s v="Yes"/>
    <n v="6.1"/>
    <n v="5"/>
    <s v="Single"/>
    <n v="4"/>
    <n v="8"/>
    <s v="Instagram"/>
    <n v="1"/>
    <s v="6.1"/>
    <s v="OK"/>
    <b v="1"/>
    <s v="High"/>
    <s v="8"/>
    <n v="2.4"/>
    <b v="1"/>
  </r>
  <r>
    <n v="696"/>
    <n v="23"/>
    <s v="Male"/>
    <s v="Graduate"/>
    <s v="USA"/>
    <n v="5.5"/>
    <x v="1"/>
    <s v="Yes"/>
    <n v="6.7"/>
    <n v="6"/>
    <s v="In Relationship"/>
    <n v="3"/>
    <n v="7"/>
    <s v="Twitter"/>
    <n v="3"/>
    <s v="6.7"/>
    <s v="OK"/>
    <b v="1"/>
    <s v="High"/>
    <s v="7"/>
    <n v="2.4"/>
    <b v="1"/>
  </r>
  <r>
    <n v="697"/>
    <n v="21"/>
    <s v="Female"/>
    <s v="Undergraduate"/>
    <s v="Mexico"/>
    <n v="6.3"/>
    <x v="2"/>
    <s v="Yes"/>
    <n v="6.2"/>
    <n v="5"/>
    <s v="Single"/>
    <n v="4"/>
    <n v="8"/>
    <s v="Tiktok"/>
    <n v="2"/>
    <s v="6.2"/>
    <s v="OK"/>
    <b v="1"/>
    <s v="High"/>
    <s v="8"/>
    <n v="2.2999999999999998"/>
    <b v="1"/>
  </r>
  <r>
    <n v="698"/>
    <n v="24"/>
    <s v="Male"/>
    <s v="Graduate"/>
    <s v="France"/>
    <n v="4.8"/>
    <x v="4"/>
    <s v="No"/>
    <n v="7.1"/>
    <n v="7"/>
    <s v="In Relationship"/>
    <n v="2"/>
    <n v="5"/>
    <s v="Facebook"/>
    <n v="0"/>
    <s v="7.1"/>
    <s v="OK"/>
    <s v="medium"/>
    <s v="Medium"/>
    <s v="5"/>
    <n v="2.2999999999999998"/>
    <b v="1"/>
  </r>
  <r>
    <n v="699"/>
    <n v="19"/>
    <s v="Female"/>
    <s v="Undergraduate"/>
    <s v="Canada"/>
    <n v="5.7"/>
    <x v="0"/>
    <s v="Yes"/>
    <n v="6.6"/>
    <n v="6"/>
    <s v="Single"/>
    <n v="3"/>
    <n v="7"/>
    <s v="Instagram"/>
    <n v="1"/>
    <s v="6.6"/>
    <s v="OK"/>
    <b v="1"/>
    <s v="High"/>
    <s v="7"/>
    <n v="2.2999999999999998"/>
    <b v="1"/>
  </r>
  <r>
    <n v="700"/>
    <n v="22"/>
    <s v="Male"/>
    <s v="Graduate"/>
    <s v="UK"/>
    <n v="6.2"/>
    <x v="1"/>
    <s v="Yes"/>
    <n v="6.3"/>
    <n v="5"/>
    <s v="Single"/>
    <n v="4"/>
    <n v="8"/>
    <s v="Twitter"/>
    <n v="3"/>
    <s v="6.3"/>
    <s v="OK"/>
    <b v="1"/>
    <s v="High"/>
    <s v="8"/>
    <n v="2.2999999999999998"/>
    <b v="1"/>
  </r>
  <r>
    <n v="701"/>
    <n v="20"/>
    <s v="Female"/>
    <s v="Undergraduate"/>
    <s v="Italy"/>
    <n v="4.7"/>
    <x v="2"/>
    <s v="No"/>
    <n v="7.2"/>
    <n v="7"/>
    <s v="In Relationship"/>
    <n v="2"/>
    <n v="5"/>
    <s v="Tiktok"/>
    <n v="2"/>
    <s v="7.2"/>
    <s v="OK"/>
    <s v="medium"/>
    <s v="Medium"/>
    <s v="5"/>
    <n v="2.2000000000000002"/>
    <b v="1"/>
  </r>
  <r>
    <n v="702"/>
    <n v="23"/>
    <s v="Male"/>
    <s v="Graduate"/>
    <s v="Russia"/>
    <n v="6.8"/>
    <x v="0"/>
    <s v="Yes"/>
    <n v="5.9"/>
    <n v="4"/>
    <s v="Single"/>
    <n v="5"/>
    <n v="9"/>
    <s v="Instagram"/>
    <n v="1"/>
    <s v="5.9"/>
    <s v="OK"/>
    <b v="1"/>
    <s v="High"/>
    <s v="9"/>
    <n v="2.2000000000000002"/>
    <b v="1"/>
  </r>
  <r>
    <n v="703"/>
    <n v="21"/>
    <s v="Female"/>
    <s v="Undergraduate"/>
    <s v="China"/>
    <n v="5.6"/>
    <x v="11"/>
    <s v="Yes"/>
    <n v="6.7"/>
    <n v="6"/>
    <s v="In Relationship"/>
    <n v="3"/>
    <n v="7"/>
    <s v="Wechat"/>
    <n v="1"/>
    <s v="6.7"/>
    <s v="OK"/>
    <b v="1"/>
    <s v="High"/>
    <s v="7"/>
    <n v="2.1"/>
    <b v="1"/>
  </r>
  <r>
    <n v="704"/>
    <n v="24"/>
    <s v="Male"/>
    <s v="Graduate"/>
    <s v="Japan"/>
    <n v="4.3"/>
    <x v="1"/>
    <s v="No"/>
    <n v="7.5"/>
    <n v="8"/>
    <s v="Single"/>
    <n v="2"/>
    <n v="4"/>
    <s v="Twitter"/>
    <n v="3"/>
    <s v="7.5"/>
    <s v="OK"/>
    <s v="medium"/>
    <s v="Low"/>
    <s v="4"/>
    <n v="2"/>
    <b v="1"/>
  </r>
  <r>
    <n v="705"/>
    <n v="19"/>
    <s v="Female"/>
    <s v="Undergraduate"/>
    <s v="Poland"/>
    <n v="6.2"/>
    <x v="4"/>
    <s v="Yes"/>
    <n v="6.3"/>
    <n v="5"/>
    <s v="Single"/>
    <n v="4"/>
    <n v="8"/>
    <s v="Facebook"/>
    <n v="0"/>
    <s v="6.3"/>
    <s v="OK"/>
    <b v="1"/>
    <s v="High"/>
    <s v="8"/>
    <n v="1.5"/>
    <b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05">
  <r>
    <n v="1"/>
    <n v="19"/>
    <s v="Female"/>
    <s v="Undergraduate"/>
    <s v="Bangladesh"/>
    <n v="5.2"/>
    <s v="Instagram"/>
    <s v="Yes"/>
    <n v="6.5"/>
    <n v="6"/>
    <s v="In Relationship"/>
    <n v="3"/>
    <n v="8"/>
    <s v="Instagram"/>
    <n v="1"/>
    <s v="6.5"/>
    <s v="OK"/>
    <x v="0"/>
    <x v="0"/>
    <x v="0"/>
    <n v="8.5"/>
    <b v="1"/>
  </r>
  <r>
    <n v="2"/>
    <n v="22"/>
    <s v="Male"/>
    <s v="Graduate"/>
    <s v="India"/>
    <n v="2.1"/>
    <s v="Twitter"/>
    <s v="No"/>
    <n v="7.5"/>
    <n v="8"/>
    <s v="Single"/>
    <n v="0"/>
    <n v="3"/>
    <s v="Twitter"/>
    <n v="3"/>
    <s v="7.5"/>
    <s v="OK"/>
    <x v="1"/>
    <x v="1"/>
    <x v="1"/>
    <n v="8.4"/>
    <b v="1"/>
  </r>
  <r>
    <n v="3"/>
    <n v="20"/>
    <s v="Female"/>
    <s v="Undergraduate"/>
    <s v="USA"/>
    <n v="6"/>
    <s v="TikTok"/>
    <s v="Yes"/>
    <n v="5"/>
    <n v="5"/>
    <s v="Complicated"/>
    <n v="4"/>
    <n v="9"/>
    <s v="Tiktok"/>
    <n v="2"/>
    <s v="5"/>
    <s v="OK"/>
    <x v="0"/>
    <x v="0"/>
    <x v="2"/>
    <n v="8.3000000000000007"/>
    <b v="1"/>
  </r>
  <r>
    <n v="4"/>
    <n v="18"/>
    <s v="Male"/>
    <s v="High School"/>
    <s v="UK"/>
    <n v="3"/>
    <s v="YouTube"/>
    <s v="No"/>
    <n v="7"/>
    <n v="7"/>
    <s v="Single"/>
    <n v="1"/>
    <n v="4"/>
    <s v="Youtube"/>
    <n v="1"/>
    <s v="7"/>
    <s v="OK"/>
    <x v="1"/>
    <x v="1"/>
    <x v="3"/>
    <n v="8.1999999999999993"/>
    <b v="1"/>
  </r>
  <r>
    <n v="5"/>
    <n v="21"/>
    <s v="Male"/>
    <s v="Graduate"/>
    <s v="Canada"/>
    <n v="4.5"/>
    <s v="Facebook"/>
    <s v="Yes"/>
    <n v="6"/>
    <n v="6"/>
    <s v="In Relationship"/>
    <n v="2"/>
    <n v="7"/>
    <s v="Facebook"/>
    <n v="0"/>
    <s v="6"/>
    <s v="OK"/>
    <x v="0"/>
    <x v="0"/>
    <x v="4"/>
    <n v="8.1"/>
    <b v="1"/>
  </r>
  <r>
    <n v="6"/>
    <n v="19"/>
    <s v="Female"/>
    <s v="Undergraduate"/>
    <s v="Australia"/>
    <n v="7.2"/>
    <s v="Instagram"/>
    <s v="Yes"/>
    <n v="4.5"/>
    <n v="4"/>
    <s v="Complicated"/>
    <n v="5"/>
    <n v="9"/>
    <s v="Instagram"/>
    <n v="1"/>
    <s v="4.5"/>
    <s v="LESS SLEEP"/>
    <x v="0"/>
    <x v="0"/>
    <x v="2"/>
    <n v="8"/>
    <b v="1"/>
  </r>
  <r>
    <n v="7"/>
    <n v="23"/>
    <s v="Male"/>
    <s v="Graduate"/>
    <s v="Germany"/>
    <n v="1.5"/>
    <s v="LinkedIn"/>
    <s v="No"/>
    <n v="8"/>
    <n v="9"/>
    <s v="Single"/>
    <n v="0"/>
    <n v="2"/>
    <s v="Linkedin"/>
    <n v="0"/>
    <s v="8"/>
    <s v="OK"/>
    <x v="1"/>
    <x v="1"/>
    <x v="5"/>
    <n v="7.9"/>
    <b v="1"/>
  </r>
  <r>
    <n v="8"/>
    <n v="20"/>
    <s v="Female"/>
    <s v="Undergraduate"/>
    <s v="Brazil"/>
    <n v="5.8"/>
    <s v="Snapchat"/>
    <s v="Yes"/>
    <n v="6"/>
    <n v="6"/>
    <s v="In Relationship"/>
    <n v="2"/>
    <n v="8"/>
    <s v="Snapchat"/>
    <n v="1"/>
    <s v="6"/>
    <s v="OK"/>
    <x v="0"/>
    <x v="0"/>
    <x v="0"/>
    <n v="7.8"/>
    <b v="1"/>
  </r>
  <r>
    <n v="9"/>
    <n v="18"/>
    <s v="Male"/>
    <s v="High School"/>
    <s v="Japan"/>
    <n v="4"/>
    <s v="TikTok"/>
    <s v="No"/>
    <n v="6.5"/>
    <n v="7"/>
    <s v="Single"/>
    <n v="1"/>
    <n v="5"/>
    <s v="Tiktok"/>
    <n v="2"/>
    <s v="6.5"/>
    <s v="OK"/>
    <x v="1"/>
    <x v="2"/>
    <x v="6"/>
    <n v="7.7"/>
    <b v="1"/>
  </r>
  <r>
    <n v="10"/>
    <n v="21"/>
    <s v="Female"/>
    <s v="Graduate"/>
    <s v="South Korea"/>
    <n v="3.3"/>
    <s v="Instagram"/>
    <s v="No"/>
    <n v="7"/>
    <n v="7"/>
    <s v="In Relationship"/>
    <n v="1"/>
    <n v="4"/>
    <s v="Instagram"/>
    <n v="1"/>
    <s v="7"/>
    <s v="OK"/>
    <x v="1"/>
    <x v="1"/>
    <x v="3"/>
    <n v="7.6"/>
    <b v="1"/>
  </r>
  <r>
    <n v="11"/>
    <n v="19"/>
    <s v="Male"/>
    <s v="Undergraduate"/>
    <s v="France"/>
    <n v="4.8"/>
    <s v="Snapchat"/>
    <s v="Yes"/>
    <n v="6.2"/>
    <n v="5"/>
    <s v="Complicated"/>
    <n v="3"/>
    <n v="7"/>
    <s v="Snapchat"/>
    <n v="1"/>
    <s v="6.2"/>
    <s v="OK"/>
    <x v="0"/>
    <x v="0"/>
    <x v="4"/>
    <n v="7.5"/>
    <b v="1"/>
  </r>
  <r>
    <n v="12"/>
    <n v="20"/>
    <s v="Female"/>
    <s v="Undergraduate"/>
    <s v="Spain"/>
    <n v="5.5"/>
    <s v="TikTok"/>
    <s v="Yes"/>
    <n v="5.8"/>
    <n v="6"/>
    <s v="In Relationship"/>
    <n v="2"/>
    <n v="8"/>
    <s v="Tiktok"/>
    <n v="2"/>
    <s v="5.8"/>
    <s v="OK"/>
    <x v="0"/>
    <x v="0"/>
    <x v="0"/>
    <n v="7.5"/>
    <b v="1"/>
  </r>
  <r>
    <n v="13"/>
    <n v="22"/>
    <s v="Male"/>
    <s v="Graduate"/>
    <s v="Italy"/>
    <n v="2.8"/>
    <s v="LinkedIn"/>
    <s v="No"/>
    <n v="7.2"/>
    <n v="8"/>
    <s v="Single"/>
    <n v="1"/>
    <n v="4"/>
    <s v="Linkedin"/>
    <n v="0"/>
    <s v="7.2"/>
    <s v="OK"/>
    <x v="1"/>
    <x v="1"/>
    <x v="3"/>
    <n v="7.4"/>
    <b v="1"/>
  </r>
  <r>
    <n v="14"/>
    <n v="18"/>
    <s v="Female"/>
    <s v="High School"/>
    <s v="Mexico"/>
    <n v="6.5"/>
    <s v="Instagram"/>
    <s v="Yes"/>
    <n v="5.5"/>
    <n v="5"/>
    <s v="Single"/>
    <n v="4"/>
    <n v="9"/>
    <s v="Instagram"/>
    <n v="1"/>
    <s v="5.5"/>
    <s v="OK"/>
    <x v="0"/>
    <x v="0"/>
    <x v="2"/>
    <n v="7.4"/>
    <b v="1"/>
  </r>
  <r>
    <n v="15"/>
    <n v="21"/>
    <s v="Male"/>
    <s v="Undergraduate"/>
    <s v="Russia"/>
    <n v="3.7"/>
    <s v="YouTube"/>
    <s v="No"/>
    <n v="6.8"/>
    <n v="7"/>
    <s v="In Relationship"/>
    <n v="2"/>
    <n v="5"/>
    <s v="Youtube"/>
    <n v="1"/>
    <s v="6.8"/>
    <s v="OK"/>
    <x v="1"/>
    <x v="2"/>
    <x v="6"/>
    <n v="7.4"/>
    <b v="1"/>
  </r>
  <r>
    <n v="16"/>
    <n v="20"/>
    <s v="Female"/>
    <s v="Undergraduate"/>
    <s v="China"/>
    <n v="4.2"/>
    <s v="TikTok"/>
    <s v="Yes"/>
    <n v="6"/>
    <n v="6"/>
    <s v="Complicated"/>
    <n v="3"/>
    <n v="7"/>
    <s v="Tiktok"/>
    <n v="2"/>
    <s v="6"/>
    <s v="OK"/>
    <x v="0"/>
    <x v="0"/>
    <x v="4"/>
    <n v="7.3"/>
    <b v="1"/>
  </r>
  <r>
    <n v="17"/>
    <n v="24"/>
    <s v="Male"/>
    <s v="Graduate"/>
    <s v="Sweden"/>
    <n v="2"/>
    <s v="LinkedIn"/>
    <s v="No"/>
    <n v="7.8"/>
    <n v="8"/>
    <s v="Single"/>
    <n v="0"/>
    <n v="3"/>
    <s v="Linkedin"/>
    <n v="0"/>
    <s v="7.8"/>
    <s v="OK"/>
    <x v="1"/>
    <x v="1"/>
    <x v="1"/>
    <n v="7.3"/>
    <b v="1"/>
  </r>
  <r>
    <n v="18"/>
    <n v="19"/>
    <s v="Female"/>
    <s v="High School"/>
    <s v="Norway"/>
    <n v="5"/>
    <s v="Instagram"/>
    <s v="Yes"/>
    <n v="5.7"/>
    <n v="5"/>
    <s v="In Relationship"/>
    <n v="3"/>
    <n v="8"/>
    <s v="Instagram"/>
    <n v="1"/>
    <s v="5.7"/>
    <s v="OK"/>
    <x v="0"/>
    <x v="0"/>
    <x v="0"/>
    <n v="7.3"/>
    <b v="1"/>
  </r>
  <r>
    <n v="19"/>
    <n v="21"/>
    <s v="Male"/>
    <s v="Undergraduate"/>
    <s v="Denmark"/>
    <n v="3.5"/>
    <s v="Facebook"/>
    <s v="No"/>
    <n v="6.7"/>
    <n v="7"/>
    <s v="Single"/>
    <n v="1"/>
    <n v="5"/>
    <s v="Facebook"/>
    <n v="0"/>
    <s v="6.7"/>
    <s v="OK"/>
    <x v="1"/>
    <x v="2"/>
    <x v="6"/>
    <n v="7.3"/>
    <b v="1"/>
  </r>
  <r>
    <n v="20"/>
    <n v="20"/>
    <s v="Female"/>
    <s v="Undergraduate"/>
    <s v="Netherlands"/>
    <n v="4.7"/>
    <s v="Snapchat"/>
    <s v="Yes"/>
    <n v="5.9"/>
    <n v="6"/>
    <s v="Complicated"/>
    <n v="3"/>
    <n v="7"/>
    <s v="Snapchat"/>
    <n v="1"/>
    <s v="5.9"/>
    <s v="OK"/>
    <x v="0"/>
    <x v="0"/>
    <x v="4"/>
    <n v="7.2"/>
    <b v="1"/>
  </r>
  <r>
    <n v="21"/>
    <n v="18"/>
    <s v="Male"/>
    <s v="High School"/>
    <s v="Belgium"/>
    <n v="5.3"/>
    <s v="TikTok"/>
    <s v="Yes"/>
    <n v="5.5"/>
    <n v="5"/>
    <s v="Single"/>
    <n v="4"/>
    <n v="8"/>
    <s v="Tiktok"/>
    <n v="2"/>
    <s v="5.5"/>
    <s v="OK"/>
    <x v="0"/>
    <x v="0"/>
    <x v="0"/>
    <n v="7.2"/>
    <b v="1"/>
  </r>
  <r>
    <n v="22"/>
    <n v="23"/>
    <s v="Female"/>
    <s v="Graduate"/>
    <s v="Switzerland"/>
    <n v="2.5"/>
    <s v="LinkedIn"/>
    <s v="No"/>
    <n v="7.3"/>
    <n v="8"/>
    <s v="In Relationship"/>
    <n v="1"/>
    <n v="4"/>
    <s v="Linkedin"/>
    <n v="0"/>
    <s v="7.3"/>
    <s v="OK"/>
    <x v="1"/>
    <x v="1"/>
    <x v="3"/>
    <n v="7.2"/>
    <b v="1"/>
  </r>
  <r>
    <n v="23"/>
    <n v="19"/>
    <s v="Male"/>
    <s v="Undergraduate"/>
    <s v="Austria"/>
    <n v="4.9000000000000004"/>
    <s v="Instagram"/>
    <s v="Yes"/>
    <n v="5.8"/>
    <n v="6"/>
    <s v="Complicated"/>
    <n v="3"/>
    <n v="7"/>
    <s v="Instagram"/>
    <n v="1"/>
    <s v="5.8"/>
    <s v="OK"/>
    <x v="0"/>
    <x v="0"/>
    <x v="4"/>
    <n v="7.2"/>
    <b v="1"/>
  </r>
  <r>
    <n v="24"/>
    <n v="20"/>
    <s v="Female"/>
    <s v="Undergraduate"/>
    <s v="Portugal"/>
    <n v="5.7"/>
    <s v="TikTok"/>
    <s v="Yes"/>
    <n v="5.4"/>
    <n v="5"/>
    <s v="Single"/>
    <n v="4"/>
    <n v="8"/>
    <s v="Tiktok"/>
    <n v="2"/>
    <s v="5.4"/>
    <s v="OK"/>
    <x v="0"/>
    <x v="0"/>
    <x v="0"/>
    <n v="7.2"/>
    <b v="1"/>
  </r>
  <r>
    <n v="25"/>
    <n v="22"/>
    <s v="Male"/>
    <s v="Graduate"/>
    <s v="Greece"/>
    <n v="3.2"/>
    <s v="Facebook"/>
    <s v="No"/>
    <n v="6.9"/>
    <n v="7"/>
    <s v="In Relationship"/>
    <n v="2"/>
    <n v="5"/>
    <s v="Facebook"/>
    <n v="0"/>
    <s v="6.9"/>
    <s v="OK"/>
    <x v="1"/>
    <x v="2"/>
    <x v="6"/>
    <n v="7.2"/>
    <b v="1"/>
  </r>
  <r>
    <n v="26"/>
    <n v="19"/>
    <s v="Female"/>
    <s v="High School"/>
    <s v="Ireland"/>
    <n v="6.1"/>
    <s v="Instagram"/>
    <s v="Yes"/>
    <n v="5.2"/>
    <n v="5"/>
    <s v="Complicated"/>
    <n v="4"/>
    <n v="9"/>
    <s v="Instagram"/>
    <n v="1"/>
    <s v="5.2"/>
    <s v="OK"/>
    <x v="0"/>
    <x v="0"/>
    <x v="2"/>
    <n v="7.2"/>
    <b v="1"/>
  </r>
  <r>
    <n v="27"/>
    <n v="21"/>
    <s v="Male"/>
    <s v="Undergraduate"/>
    <s v="New Zealand"/>
    <n v="3.8"/>
    <s v="YouTube"/>
    <s v="No"/>
    <n v="6.6"/>
    <n v="7"/>
    <s v="Single"/>
    <n v="1"/>
    <n v="5"/>
    <s v="Youtube"/>
    <n v="1"/>
    <s v="6.6"/>
    <s v="OK"/>
    <x v="1"/>
    <x v="2"/>
    <x v="6"/>
    <n v="7.2"/>
    <b v="1"/>
  </r>
  <r>
    <n v="28"/>
    <n v="20"/>
    <s v="Female"/>
    <s v="Undergraduate"/>
    <s v="Singapore"/>
    <n v="4.4000000000000004"/>
    <s v="TikTok"/>
    <s v="Yes"/>
    <n v="5.9"/>
    <n v="6"/>
    <s v="In Relationship"/>
    <n v="3"/>
    <n v="7"/>
    <s v="Tiktok"/>
    <n v="2"/>
    <s v="5.9"/>
    <s v="OK"/>
    <x v="0"/>
    <x v="0"/>
    <x v="4"/>
    <n v="7.1"/>
    <b v="1"/>
  </r>
  <r>
    <n v="29"/>
    <n v="24"/>
    <s v="Male"/>
    <s v="Graduate"/>
    <s v="Malaysia"/>
    <n v="2.2000000000000002"/>
    <s v="LinkedIn"/>
    <s v="No"/>
    <n v="7.4"/>
    <n v="8"/>
    <s v="Single"/>
    <n v="0"/>
    <n v="3"/>
    <s v="Linkedin"/>
    <n v="0"/>
    <s v="7.4"/>
    <s v="OK"/>
    <x v="1"/>
    <x v="1"/>
    <x v="1"/>
    <n v="7.1"/>
    <b v="1"/>
  </r>
  <r>
    <n v="30"/>
    <n v="19"/>
    <s v="Female"/>
    <s v="High School"/>
    <s v="Thailand"/>
    <n v="5.9"/>
    <s v="Instagram"/>
    <s v="Yes"/>
    <n v="5.3"/>
    <n v="5"/>
    <s v="Complicated"/>
    <n v="4"/>
    <n v="8"/>
    <s v="Instagram"/>
    <n v="1"/>
    <s v="5.3"/>
    <s v="OK"/>
    <x v="0"/>
    <x v="0"/>
    <x v="0"/>
    <n v="7.1"/>
    <b v="1"/>
  </r>
  <r>
    <n v="31"/>
    <n v="21"/>
    <s v="Male"/>
    <s v="Undergraduate"/>
    <s v="Vietnam"/>
    <n v="3.6"/>
    <s v="Facebook"/>
    <s v="No"/>
    <n v="6.7"/>
    <n v="7"/>
    <s v="Single"/>
    <n v="1"/>
    <n v="5"/>
    <s v="Facebook"/>
    <n v="0"/>
    <s v="6.7"/>
    <s v="OK"/>
    <x v="1"/>
    <x v="2"/>
    <x v="6"/>
    <n v="7.1"/>
    <b v="1"/>
  </r>
  <r>
    <n v="32"/>
    <n v="20"/>
    <s v="Female"/>
    <s v="Undergraduate"/>
    <s v="Philippines"/>
    <n v="4.8"/>
    <s v="Snapchat"/>
    <s v="Yes"/>
    <n v="5.7"/>
    <n v="6"/>
    <s v="In Relationship"/>
    <n v="3"/>
    <n v="7"/>
    <s v="Snapchat"/>
    <n v="1"/>
    <s v="5.7"/>
    <s v="OK"/>
    <x v="0"/>
    <x v="0"/>
    <x v="4"/>
    <n v="7.1"/>
    <b v="1"/>
  </r>
  <r>
    <n v="33"/>
    <n v="18"/>
    <s v="Male"/>
    <s v="High School"/>
    <s v="Indonesia"/>
    <n v="5.4"/>
    <s v="TikTok"/>
    <s v="Yes"/>
    <n v="5.4"/>
    <n v="5"/>
    <s v="Complicated"/>
    <n v="4"/>
    <n v="8"/>
    <s v="Tiktok"/>
    <n v="2"/>
    <s v="5.4"/>
    <s v="OK"/>
    <x v="0"/>
    <x v="0"/>
    <x v="0"/>
    <n v="7.1"/>
    <b v="1"/>
  </r>
  <r>
    <n v="34"/>
    <n v="23"/>
    <s v="Female"/>
    <s v="Graduate"/>
    <s v="Taiwan"/>
    <n v="2.6"/>
    <s v="LinkedIn"/>
    <s v="No"/>
    <n v="7.2"/>
    <n v="8"/>
    <s v="Single"/>
    <n v="1"/>
    <n v="4"/>
    <s v="Linkedin"/>
    <n v="0"/>
    <s v="7.2"/>
    <s v="OK"/>
    <x v="1"/>
    <x v="1"/>
    <x v="3"/>
    <n v="7.1"/>
    <b v="1"/>
  </r>
  <r>
    <n v="35"/>
    <n v="19"/>
    <s v="Male"/>
    <s v="Undergraduate"/>
    <s v="Hong Kong"/>
    <n v="4.7"/>
    <s v="Instagram"/>
    <s v="Yes"/>
    <n v="5.8"/>
    <n v="6"/>
    <s v="In Relationship"/>
    <n v="3"/>
    <n v="7"/>
    <s v="Instagram"/>
    <n v="1"/>
    <s v="5.8"/>
    <s v="OK"/>
    <x v="0"/>
    <x v="0"/>
    <x v="4"/>
    <n v="7.1"/>
    <b v="1"/>
  </r>
  <r>
    <n v="36"/>
    <n v="20"/>
    <s v="Female"/>
    <s v="Undergraduate"/>
    <s v="Turkey"/>
    <n v="5.6"/>
    <s v="TikTok"/>
    <s v="Yes"/>
    <n v="5.5"/>
    <n v="5"/>
    <s v="Complicated"/>
    <n v="4"/>
    <n v="8"/>
    <s v="Tiktok"/>
    <n v="2"/>
    <s v="5.5"/>
    <s v="OK"/>
    <x v="0"/>
    <x v="0"/>
    <x v="0"/>
    <n v="7"/>
    <b v="1"/>
  </r>
  <r>
    <n v="37"/>
    <n v="22"/>
    <s v="Male"/>
    <s v="Graduate"/>
    <s v="Israel"/>
    <n v="3.1"/>
    <s v="Facebook"/>
    <s v="No"/>
    <n v="6.8"/>
    <n v="7"/>
    <s v="Single"/>
    <n v="1"/>
    <n v="5"/>
    <s v="Facebook"/>
    <n v="0"/>
    <s v="6.8"/>
    <s v="OK"/>
    <x v="1"/>
    <x v="2"/>
    <x v="6"/>
    <n v="7"/>
    <b v="1"/>
  </r>
  <r>
    <n v="38"/>
    <n v="19"/>
    <s v="Female"/>
    <s v="High School"/>
    <s v="UAE"/>
    <n v="6.2"/>
    <s v="Instagram"/>
    <s v="Yes"/>
    <n v="5.0999999999999996"/>
    <n v="5"/>
    <s v="In Relationship"/>
    <n v="4"/>
    <n v="9"/>
    <s v="Instagram"/>
    <n v="1"/>
    <s v="5.1"/>
    <s v="OK"/>
    <x v="0"/>
    <x v="0"/>
    <x v="2"/>
    <n v="7"/>
    <b v="1"/>
  </r>
  <r>
    <n v="39"/>
    <n v="21"/>
    <s v="Male"/>
    <s v="Undergraduate"/>
    <s v="Egypt"/>
    <n v="3.9"/>
    <s v="YouTube"/>
    <s v="No"/>
    <n v="6.5"/>
    <n v="7"/>
    <s v="Complicated"/>
    <n v="2"/>
    <n v="6"/>
    <s v="Youtube"/>
    <n v="1"/>
    <s v="6.5"/>
    <s v="OK"/>
    <x v="1"/>
    <x v="2"/>
    <x v="7"/>
    <n v="7"/>
    <b v="1"/>
  </r>
  <r>
    <n v="40"/>
    <n v="20"/>
    <s v="Female"/>
    <s v="Undergraduate"/>
    <s v="Morocco"/>
    <n v="4.5"/>
    <s v="TikTok"/>
    <s v="Yes"/>
    <n v="5.8"/>
    <n v="6"/>
    <s v="Single"/>
    <n v="3"/>
    <n v="7"/>
    <s v="Tiktok"/>
    <n v="2"/>
    <s v="5.8"/>
    <s v="OK"/>
    <x v="0"/>
    <x v="0"/>
    <x v="4"/>
    <n v="7"/>
    <b v="1"/>
  </r>
  <r>
    <n v="41"/>
    <n v="24"/>
    <s v="Male"/>
    <s v="Graduate"/>
    <s v="South Africa"/>
    <n v="2.2999999999999998"/>
    <s v="LinkedIn"/>
    <s v="No"/>
    <n v="7.3"/>
    <n v="8"/>
    <s v="In Relationship"/>
    <n v="1"/>
    <n v="4"/>
    <s v="Linkedin"/>
    <n v="0"/>
    <s v="7.3"/>
    <s v="OK"/>
    <x v="1"/>
    <x v="1"/>
    <x v="3"/>
    <n v="7"/>
    <b v="1"/>
  </r>
  <r>
    <n v="42"/>
    <n v="19"/>
    <s v="Female"/>
    <s v="High School"/>
    <s v="Nigeria"/>
    <n v="5.8"/>
    <s v="Instagram"/>
    <s v="Yes"/>
    <n v="5.4"/>
    <n v="5"/>
    <s v="Complicated"/>
    <n v="4"/>
    <n v="8"/>
    <s v="Instagram"/>
    <n v="1"/>
    <s v="5.4"/>
    <s v="OK"/>
    <x v="0"/>
    <x v="0"/>
    <x v="0"/>
    <n v="7"/>
    <b v="1"/>
  </r>
  <r>
    <n v="43"/>
    <n v="21"/>
    <s v="Male"/>
    <s v="Undergraduate"/>
    <s v="Kenya"/>
    <n v="3.7"/>
    <s v="Facebook"/>
    <s v="No"/>
    <n v="6.6"/>
    <n v="7"/>
    <s v="Single"/>
    <n v="2"/>
    <n v="5"/>
    <s v="Facebook"/>
    <n v="0"/>
    <s v="6.6"/>
    <s v="OK"/>
    <x v="1"/>
    <x v="2"/>
    <x v="6"/>
    <n v="7"/>
    <b v="1"/>
  </r>
  <r>
    <n v="44"/>
    <n v="20"/>
    <s v="Female"/>
    <s v="Undergraduate"/>
    <s v="Ghana"/>
    <n v="4.5999999999999996"/>
    <s v="Snapchat"/>
    <s v="Yes"/>
    <n v="5.7"/>
    <n v="6"/>
    <s v="In Relationship"/>
    <n v="3"/>
    <n v="7"/>
    <s v="Snapchat"/>
    <n v="1"/>
    <s v="5.7"/>
    <s v="OK"/>
    <x v="0"/>
    <x v="0"/>
    <x v="4"/>
    <n v="7"/>
    <b v="1"/>
  </r>
  <r>
    <n v="45"/>
    <n v="18"/>
    <s v="Male"/>
    <s v="High School"/>
    <s v="Argentina"/>
    <n v="5.5"/>
    <s v="TikTok"/>
    <s v="Yes"/>
    <n v="5.3"/>
    <n v="5"/>
    <s v="Single"/>
    <n v="4"/>
    <n v="8"/>
    <s v="Tiktok"/>
    <n v="2"/>
    <s v="5.3"/>
    <s v="OK"/>
    <x v="0"/>
    <x v="0"/>
    <x v="0"/>
    <n v="7"/>
    <b v="1"/>
  </r>
  <r>
    <n v="46"/>
    <n v="23"/>
    <s v="Female"/>
    <s v="Graduate"/>
    <s v="Chile"/>
    <n v="2.7"/>
    <s v="LinkedIn"/>
    <s v="No"/>
    <n v="7.1"/>
    <n v="8"/>
    <s v="Complicated"/>
    <n v="1"/>
    <n v="4"/>
    <s v="Linkedin"/>
    <n v="0"/>
    <s v="7.1"/>
    <s v="OK"/>
    <x v="1"/>
    <x v="1"/>
    <x v="3"/>
    <n v="6.9"/>
    <b v="1"/>
  </r>
  <r>
    <n v="47"/>
    <n v="19"/>
    <s v="Male"/>
    <s v="Undergraduate"/>
    <s v="Colombia"/>
    <n v="4.8"/>
    <s v="Instagram"/>
    <s v="Yes"/>
    <n v="5.9"/>
    <n v="6"/>
    <s v="In Relationship"/>
    <n v="3"/>
    <n v="7"/>
    <s v="Instagram"/>
    <n v="1"/>
    <s v="5.9"/>
    <s v="OK"/>
    <x v="0"/>
    <x v="0"/>
    <x v="4"/>
    <n v="6.9"/>
    <b v="1"/>
  </r>
  <r>
    <n v="48"/>
    <n v="20"/>
    <s v="Female"/>
    <s v="Undergraduate"/>
    <s v="Peru"/>
    <n v="5.5"/>
    <s v="TikTok"/>
    <s v="Yes"/>
    <n v="5.6"/>
    <n v="5"/>
    <s v="Single"/>
    <n v="4"/>
    <n v="8"/>
    <s v="Tiktok"/>
    <n v="2"/>
    <s v="5.6"/>
    <s v="OK"/>
    <x v="0"/>
    <x v="0"/>
    <x v="0"/>
    <n v="6.9"/>
    <b v="1"/>
  </r>
  <r>
    <n v="49"/>
    <n v="22"/>
    <s v="Male"/>
    <s v="Graduate"/>
    <s v="Venezuela"/>
    <n v="3.3"/>
    <s v="Facebook"/>
    <s v="No"/>
    <n v="6.7"/>
    <n v="7"/>
    <s v="In Relationship"/>
    <n v="2"/>
    <n v="5"/>
    <s v="Facebook"/>
    <n v="0"/>
    <s v="6.7"/>
    <s v="OK"/>
    <x v="1"/>
    <x v="2"/>
    <x v="6"/>
    <n v="6.9"/>
    <b v="1"/>
  </r>
  <r>
    <n v="50"/>
    <n v="19"/>
    <s v="Female"/>
    <s v="High School"/>
    <s v="Ecuador"/>
    <n v="6.3"/>
    <s v="Instagram"/>
    <s v="Yes"/>
    <n v="5.2"/>
    <n v="5"/>
    <s v="Complicated"/>
    <n v="4"/>
    <n v="9"/>
    <s v="Instagram"/>
    <n v="1"/>
    <s v="5.2"/>
    <s v="OK"/>
    <x v="0"/>
    <x v="0"/>
    <x v="2"/>
    <n v="6.9"/>
    <b v="1"/>
  </r>
  <r>
    <n v="51"/>
    <n v="21"/>
    <s v="Male"/>
    <s v="Undergraduate"/>
    <s v="Uruguay"/>
    <n v="3.8"/>
    <s v="YouTube"/>
    <s v="No"/>
    <n v="6.4"/>
    <n v="7"/>
    <s v="Single"/>
    <n v="2"/>
    <n v="6"/>
    <s v="Youtube"/>
    <n v="1"/>
    <s v="6.4"/>
    <s v="OK"/>
    <x v="1"/>
    <x v="2"/>
    <x v="7"/>
    <n v="6.9"/>
    <b v="1"/>
  </r>
  <r>
    <n v="52"/>
    <n v="20"/>
    <s v="Female"/>
    <s v="Undergraduate"/>
    <s v="Paraguay"/>
    <n v="4.7"/>
    <s v="TikTok"/>
    <s v="Yes"/>
    <n v="5.8"/>
    <n v="6"/>
    <s v="In Relationship"/>
    <n v="3"/>
    <n v="7"/>
    <s v="Tiktok"/>
    <n v="2"/>
    <s v="5.8"/>
    <s v="OK"/>
    <x v="0"/>
    <x v="0"/>
    <x v="4"/>
    <n v="6.9"/>
    <b v="1"/>
  </r>
  <r>
    <n v="53"/>
    <n v="24"/>
    <s v="Male"/>
    <s v="Graduate"/>
    <s v="Bolivia"/>
    <n v="2.4"/>
    <s v="LinkedIn"/>
    <s v="No"/>
    <n v="7.2"/>
    <n v="8"/>
    <s v="Complicated"/>
    <n v="1"/>
    <n v="4"/>
    <s v="Linkedin"/>
    <n v="0"/>
    <s v="7.2"/>
    <s v="OK"/>
    <x v="1"/>
    <x v="1"/>
    <x v="3"/>
    <n v="6.9"/>
    <b v="1"/>
  </r>
  <r>
    <n v="54"/>
    <n v="19"/>
    <s v="Female"/>
    <s v="High School"/>
    <s v="Costa Rica"/>
    <n v="5.7"/>
    <s v="Instagram"/>
    <s v="Yes"/>
    <n v="5.5"/>
    <n v="5"/>
    <s v="Single"/>
    <n v="4"/>
    <n v="8"/>
    <s v="Instagram"/>
    <n v="1"/>
    <s v="5.5"/>
    <s v="OK"/>
    <x v="0"/>
    <x v="0"/>
    <x v="0"/>
    <n v="6.9"/>
    <b v="1"/>
  </r>
  <r>
    <n v="55"/>
    <n v="21"/>
    <s v="Male"/>
    <s v="Undergraduate"/>
    <s v="Panama"/>
    <n v="3.6"/>
    <s v="Facebook"/>
    <s v="No"/>
    <n v="6.5"/>
    <n v="7"/>
    <s v="In Relationship"/>
    <n v="2"/>
    <n v="5"/>
    <s v="Facebook"/>
    <n v="0"/>
    <s v="6.5"/>
    <s v="OK"/>
    <x v="1"/>
    <x v="2"/>
    <x v="6"/>
    <n v="6.9"/>
    <b v="1"/>
  </r>
  <r>
    <n v="56"/>
    <n v="20"/>
    <s v="Female"/>
    <s v="Undergraduate"/>
    <s v="Jamaica"/>
    <n v="4.9000000000000004"/>
    <s v="Snapchat"/>
    <s v="Yes"/>
    <n v="5.6"/>
    <n v="6"/>
    <s v="Complicated"/>
    <n v="3"/>
    <n v="7"/>
    <s v="Snapchat"/>
    <n v="1"/>
    <s v="5.6"/>
    <s v="OK"/>
    <x v="0"/>
    <x v="0"/>
    <x v="4"/>
    <n v="6.8"/>
    <b v="1"/>
  </r>
  <r>
    <n v="57"/>
    <n v="18"/>
    <s v="Male"/>
    <s v="High School"/>
    <s v="Trinidad"/>
    <n v="5.6"/>
    <s v="TikTok"/>
    <s v="Yes"/>
    <n v="5.2"/>
    <n v="5"/>
    <s v="Single"/>
    <n v="4"/>
    <n v="8"/>
    <s v="Tiktok"/>
    <n v="2"/>
    <s v="5.2"/>
    <s v="OK"/>
    <x v="0"/>
    <x v="0"/>
    <x v="0"/>
    <n v="6.8"/>
    <b v="1"/>
  </r>
  <r>
    <n v="58"/>
    <n v="23"/>
    <s v="Female"/>
    <s v="Graduate"/>
    <s v="Bahamas"/>
    <n v="2.8"/>
    <s v="LinkedIn"/>
    <s v="No"/>
    <n v="7"/>
    <n v="8"/>
    <s v="In Relationship"/>
    <n v="1"/>
    <n v="4"/>
    <s v="Linkedin"/>
    <n v="0"/>
    <s v="7"/>
    <s v="OK"/>
    <x v="1"/>
    <x v="1"/>
    <x v="3"/>
    <n v="6.8"/>
    <b v="1"/>
  </r>
  <r>
    <n v="59"/>
    <n v="19"/>
    <s v="Male"/>
    <s v="Undergraduate"/>
    <s v="Iceland"/>
    <n v="4.5999999999999996"/>
    <s v="Instagram"/>
    <s v="Yes"/>
    <n v="5.9"/>
    <n v="6"/>
    <s v="Complicated"/>
    <n v="3"/>
    <n v="7"/>
    <s v="Instagram"/>
    <n v="1"/>
    <s v="5.9"/>
    <s v="OK"/>
    <x v="0"/>
    <x v="0"/>
    <x v="4"/>
    <n v="6.8"/>
    <b v="1"/>
  </r>
  <r>
    <n v="60"/>
    <n v="20"/>
    <s v="Female"/>
    <s v="Undergraduate"/>
    <s v="Finland"/>
    <n v="5.4"/>
    <s v="TikTok"/>
    <s v="Yes"/>
    <n v="5.7"/>
    <n v="5"/>
    <s v="Single"/>
    <n v="4"/>
    <n v="8"/>
    <s v="Tiktok"/>
    <n v="2"/>
    <s v="5.7"/>
    <s v="OK"/>
    <x v="0"/>
    <x v="0"/>
    <x v="0"/>
    <n v="6.8"/>
    <b v="1"/>
  </r>
  <r>
    <n v="61"/>
    <n v="22"/>
    <s v="Male"/>
    <s v="Graduate"/>
    <s v="Poland"/>
    <n v="3.1"/>
    <s v="Facebook"/>
    <s v="No"/>
    <n v="7.1"/>
    <n v="7"/>
    <s v="Single"/>
    <n v="1"/>
    <n v="5"/>
    <s v="Facebook"/>
    <n v="0"/>
    <s v="7.1"/>
    <s v="OK"/>
    <x v="1"/>
    <x v="2"/>
    <x v="6"/>
    <n v="6.8"/>
    <b v="1"/>
  </r>
  <r>
    <n v="62"/>
    <n v="19"/>
    <s v="Female"/>
    <s v="Undergraduate"/>
    <s v="Romania"/>
    <n v="5.6"/>
    <s v="Instagram"/>
    <s v="Yes"/>
    <n v="5.6"/>
    <n v="5"/>
    <s v="In Relationship"/>
    <n v="3"/>
    <n v="8"/>
    <s v="Instagram"/>
    <n v="1"/>
    <s v="5.6"/>
    <s v="OK"/>
    <x v="0"/>
    <x v="0"/>
    <x v="0"/>
    <n v="6.8"/>
    <b v="1"/>
  </r>
  <r>
    <n v="63"/>
    <n v="20"/>
    <s v="Male"/>
    <s v="Undergraduate"/>
    <s v="Hungary"/>
    <n v="4.2"/>
    <s v="TikTok"/>
    <s v="Yes"/>
    <n v="6"/>
    <n v="6"/>
    <s v="Complicated"/>
    <n v="3"/>
    <n v="7"/>
    <s v="Tiktok"/>
    <n v="2"/>
    <s v="6"/>
    <s v="OK"/>
    <x v="0"/>
    <x v="0"/>
    <x v="4"/>
    <n v="6.8"/>
    <b v="1"/>
  </r>
  <r>
    <n v="64"/>
    <n v="18"/>
    <s v="Female"/>
    <s v="High School"/>
    <s v="Czech Republic"/>
    <n v="6.1"/>
    <s v="Snapchat"/>
    <s v="Yes"/>
    <n v="5.2"/>
    <n v="4"/>
    <s v="Single"/>
    <n v="4"/>
    <n v="9"/>
    <s v="Snapchat"/>
    <n v="1"/>
    <s v="5.2"/>
    <s v="OK"/>
    <x v="0"/>
    <x v="0"/>
    <x v="2"/>
    <n v="6.8"/>
    <b v="1"/>
  </r>
  <r>
    <n v="65"/>
    <n v="23"/>
    <s v="Male"/>
    <s v="Graduate"/>
    <s v="Slovakia"/>
    <n v="2.2999999999999998"/>
    <s v="LinkedIn"/>
    <s v="No"/>
    <n v="7.4"/>
    <n v="8"/>
    <s v="In Relationship"/>
    <n v="1"/>
    <n v="3"/>
    <s v="Linkedin"/>
    <n v="0"/>
    <s v="7.4"/>
    <s v="OK"/>
    <x v="1"/>
    <x v="1"/>
    <x v="1"/>
    <n v="6.8"/>
    <b v="1"/>
  </r>
  <r>
    <n v="66"/>
    <n v="21"/>
    <s v="Female"/>
    <s v="Undergraduate"/>
    <s v="Croatia"/>
    <n v="4.8"/>
    <s v="Instagram"/>
    <s v="Yes"/>
    <n v="5.8"/>
    <n v="6"/>
    <s v="Single"/>
    <n v="3"/>
    <n v="7"/>
    <s v="Instagram"/>
    <n v="1"/>
    <s v="5.8"/>
    <s v="OK"/>
    <x v="0"/>
    <x v="0"/>
    <x v="4"/>
    <n v="6.8"/>
    <b v="1"/>
  </r>
  <r>
    <n v="67"/>
    <n v="20"/>
    <s v="Male"/>
    <s v="Undergraduate"/>
    <s v="Serbia"/>
    <n v="3.9"/>
    <s v="YouTube"/>
    <s v="No"/>
    <n v="6.5"/>
    <n v="7"/>
    <s v="Complicated"/>
    <n v="2"/>
    <n v="6"/>
    <s v="Youtube"/>
    <n v="1"/>
    <s v="6.5"/>
    <s v="OK"/>
    <x v="1"/>
    <x v="2"/>
    <x v="7"/>
    <n v="6.8"/>
    <b v="1"/>
  </r>
  <r>
    <n v="68"/>
    <n v="19"/>
    <s v="Female"/>
    <s v="High School"/>
    <s v="Slovenia"/>
    <n v="5.7"/>
    <s v="TikTok"/>
    <s v="Yes"/>
    <n v="5.4"/>
    <n v="5"/>
    <s v="In Relationship"/>
    <n v="4"/>
    <n v="8"/>
    <s v="Tiktok"/>
    <n v="2"/>
    <s v="5.4"/>
    <s v="OK"/>
    <x v="0"/>
    <x v="0"/>
    <x v="0"/>
    <n v="6.8"/>
    <b v="1"/>
  </r>
  <r>
    <n v="69"/>
    <n v="22"/>
    <s v="Male"/>
    <s v="Graduate"/>
    <s v="Bulgaria"/>
    <n v="2.8"/>
    <s v="LinkedIn"/>
    <s v="No"/>
    <n v="7.2"/>
    <n v="8"/>
    <s v="Single"/>
    <n v="1"/>
    <n v="4"/>
    <s v="Linkedin"/>
    <n v="0"/>
    <s v="7.2"/>
    <s v="OK"/>
    <x v="1"/>
    <x v="1"/>
    <x v="3"/>
    <n v="6.7"/>
    <b v="1"/>
  </r>
  <r>
    <n v="70"/>
    <n v="20"/>
    <s v="Female"/>
    <s v="Undergraduate"/>
    <s v="Estonia"/>
    <n v="4.5"/>
    <s v="Instagram"/>
    <s v="Yes"/>
    <n v="5.9"/>
    <n v="6"/>
    <s v="Complicated"/>
    <n v="3"/>
    <n v="7"/>
    <s v="Instagram"/>
    <n v="1"/>
    <s v="5.9"/>
    <s v="OK"/>
    <x v="0"/>
    <x v="0"/>
    <x v="4"/>
    <n v="6.7"/>
    <b v="1"/>
  </r>
  <r>
    <n v="71"/>
    <n v="18"/>
    <s v="Male"/>
    <s v="High School"/>
    <s v="Latvia"/>
    <n v="5.4"/>
    <s v="Snapchat"/>
    <s v="Yes"/>
    <n v="5.5"/>
    <n v="5"/>
    <s v="Single"/>
    <n v="4"/>
    <n v="8"/>
    <s v="Snapchat"/>
    <n v="1"/>
    <s v="5.5"/>
    <s v="OK"/>
    <x v="0"/>
    <x v="0"/>
    <x v="0"/>
    <n v="6.7"/>
    <b v="1"/>
  </r>
  <r>
    <n v="72"/>
    <n v="21"/>
    <s v="Female"/>
    <s v="Graduate"/>
    <s v="Lithuania"/>
    <n v="3.2"/>
    <s v="Facebook"/>
    <s v="No"/>
    <n v="6.8"/>
    <n v="7"/>
    <s v="In Relationship"/>
    <n v="2"/>
    <n v="5"/>
    <s v="Facebook"/>
    <n v="0"/>
    <s v="6.8"/>
    <s v="OK"/>
    <x v="1"/>
    <x v="2"/>
    <x v="6"/>
    <n v="6.7"/>
    <b v="1"/>
  </r>
  <r>
    <n v="73"/>
    <n v="19"/>
    <s v="Male"/>
    <s v="Undergraduate"/>
    <s v="Ukraine"/>
    <n v="4.9000000000000004"/>
    <s v="TikTok"/>
    <s v="Yes"/>
    <n v="5.7"/>
    <n v="6"/>
    <s v="Complicated"/>
    <n v="3"/>
    <n v="7"/>
    <s v="Tiktok"/>
    <n v="2"/>
    <s v="5.7"/>
    <s v="OK"/>
    <x v="0"/>
    <x v="0"/>
    <x v="4"/>
    <n v="6.7"/>
    <b v="1"/>
  </r>
  <r>
    <n v="74"/>
    <n v="20"/>
    <s v="Female"/>
    <s v="Undergraduate"/>
    <s v="Moldova"/>
    <n v="5.8"/>
    <s v="Instagram"/>
    <s v="Yes"/>
    <n v="5.3"/>
    <n v="5"/>
    <s v="Single"/>
    <n v="4"/>
    <n v="8"/>
    <s v="Instagram"/>
    <n v="1"/>
    <s v="5.3"/>
    <s v="OK"/>
    <x v="0"/>
    <x v="0"/>
    <x v="0"/>
    <n v="6.7"/>
    <b v="1"/>
  </r>
  <r>
    <n v="75"/>
    <n v="23"/>
    <s v="Male"/>
    <s v="Graduate"/>
    <s v="Belarus"/>
    <n v="2.5"/>
    <s v="LinkedIn"/>
    <s v="No"/>
    <n v="7.3"/>
    <n v="8"/>
    <s v="In Relationship"/>
    <n v="1"/>
    <n v="4"/>
    <s v="Linkedin"/>
    <n v="0"/>
    <s v="7.3"/>
    <s v="OK"/>
    <x v="1"/>
    <x v="1"/>
    <x v="3"/>
    <n v="6.7"/>
    <b v="1"/>
  </r>
  <r>
    <n v="76"/>
    <n v="21"/>
    <s v="Female"/>
    <s v="Undergraduate"/>
    <s v="Kazakhstan"/>
    <n v="4.5999999999999996"/>
    <s v="Snapchat"/>
    <s v="Yes"/>
    <n v="5.8"/>
    <n v="6"/>
    <s v="Single"/>
    <n v="3"/>
    <n v="7"/>
    <s v="Snapchat"/>
    <n v="1"/>
    <s v="5.8"/>
    <s v="OK"/>
    <x v="0"/>
    <x v="0"/>
    <x v="4"/>
    <n v="6.7"/>
    <b v="1"/>
  </r>
  <r>
    <n v="77"/>
    <n v="19"/>
    <s v="Male"/>
    <s v="High School"/>
    <s v="Uzbekistan"/>
    <n v="5.5"/>
    <s v="TikTok"/>
    <s v="Yes"/>
    <n v="5.4"/>
    <n v="5"/>
    <s v="Complicated"/>
    <n v="4"/>
    <n v="8"/>
    <s v="Tiktok"/>
    <n v="2"/>
    <s v="5.4"/>
    <s v="OK"/>
    <x v="0"/>
    <x v="0"/>
    <x v="0"/>
    <n v="6.7"/>
    <b v="1"/>
  </r>
  <r>
    <n v="78"/>
    <n v="22"/>
    <s v="Female"/>
    <s v="Graduate"/>
    <s v="Kyrgyzstan"/>
    <n v="2.9"/>
    <s v="Facebook"/>
    <s v="No"/>
    <n v="7"/>
    <n v="7"/>
    <s v="In Relationship"/>
    <n v="2"/>
    <n v="5"/>
    <s v="Facebook"/>
    <n v="0"/>
    <s v="7"/>
    <s v="OK"/>
    <x v="1"/>
    <x v="2"/>
    <x v="6"/>
    <n v="6.7"/>
    <b v="1"/>
  </r>
  <r>
    <n v="79"/>
    <n v="20"/>
    <s v="Male"/>
    <s v="Undergraduate"/>
    <s v="Tajikistan"/>
    <n v="4.7"/>
    <s v="YouTube"/>
    <s v="Yes"/>
    <n v="5.9"/>
    <n v="6"/>
    <s v="Single"/>
    <n v="3"/>
    <n v="7"/>
    <s v="Youtube"/>
    <n v="1"/>
    <s v="5.9"/>
    <s v="OK"/>
    <x v="0"/>
    <x v="0"/>
    <x v="4"/>
    <n v="6.6"/>
    <b v="1"/>
  </r>
  <r>
    <n v="80"/>
    <n v="18"/>
    <s v="Female"/>
    <s v="High School"/>
    <s v="Armenia"/>
    <n v="5.9"/>
    <s v="Instagram"/>
    <s v="Yes"/>
    <n v="5.2"/>
    <n v="5"/>
    <s v="Complicated"/>
    <n v="4"/>
    <n v="9"/>
    <s v="Instagram"/>
    <n v="1"/>
    <s v="5.2"/>
    <s v="OK"/>
    <x v="0"/>
    <x v="0"/>
    <x v="2"/>
    <n v="6.6"/>
    <b v="1"/>
  </r>
  <r>
    <n v="81"/>
    <n v="21"/>
    <s v="Male"/>
    <s v="Graduate"/>
    <s v="Georgia"/>
    <n v="3"/>
    <s v="LinkedIn"/>
    <s v="No"/>
    <n v="7.1"/>
    <n v="8"/>
    <s v="In Relationship"/>
    <n v="1"/>
    <n v="4"/>
    <s v="Linkedin"/>
    <n v="0"/>
    <s v="7.1"/>
    <s v="OK"/>
    <x v="1"/>
    <x v="1"/>
    <x v="3"/>
    <n v="6.6"/>
    <b v="1"/>
  </r>
  <r>
    <n v="82"/>
    <n v="19"/>
    <s v="Female"/>
    <s v="Undergraduate"/>
    <s v="Azerbaijan"/>
    <n v="4.8"/>
    <s v="TikTok"/>
    <s v="Yes"/>
    <n v="5.7"/>
    <n v="6"/>
    <s v="Single"/>
    <n v="3"/>
    <n v="7"/>
    <s v="Tiktok"/>
    <n v="2"/>
    <s v="5.7"/>
    <s v="OK"/>
    <x v="0"/>
    <x v="0"/>
    <x v="4"/>
    <n v="6.6"/>
    <b v="1"/>
  </r>
  <r>
    <n v="83"/>
    <n v="20"/>
    <s v="Male"/>
    <s v="Undergraduate"/>
    <s v="Cyprus"/>
    <n v="3.8"/>
    <s v="Facebook"/>
    <s v="No"/>
    <n v="6.6"/>
    <n v="7"/>
    <s v="Complicated"/>
    <n v="2"/>
    <n v="6"/>
    <s v="Facebook"/>
    <n v="0"/>
    <s v="6.6"/>
    <s v="OK"/>
    <x v="1"/>
    <x v="2"/>
    <x v="7"/>
    <n v="6.6"/>
    <b v="1"/>
  </r>
  <r>
    <n v="84"/>
    <n v="22"/>
    <s v="Female"/>
    <s v="Graduate"/>
    <s v="Malta"/>
    <n v="2.7"/>
    <s v="LinkedIn"/>
    <s v="No"/>
    <n v="7.2"/>
    <n v="8"/>
    <s v="In Relationship"/>
    <n v="1"/>
    <n v="4"/>
    <s v="Linkedin"/>
    <n v="0"/>
    <s v="7.2"/>
    <s v="OK"/>
    <x v="1"/>
    <x v="1"/>
    <x v="3"/>
    <n v="6.6"/>
    <b v="1"/>
  </r>
  <r>
    <n v="85"/>
    <n v="18"/>
    <s v="Male"/>
    <s v="High School"/>
    <s v="Luxembourg"/>
    <n v="5.6"/>
    <s v="Snapchat"/>
    <s v="Yes"/>
    <n v="5.3"/>
    <n v="5"/>
    <s v="Single"/>
    <n v="4"/>
    <n v="8"/>
    <s v="Snapchat"/>
    <n v="1"/>
    <s v="5.3"/>
    <s v="OK"/>
    <x v="0"/>
    <x v="0"/>
    <x v="0"/>
    <n v="6.6"/>
    <b v="1"/>
  </r>
  <r>
    <n v="86"/>
    <n v="21"/>
    <s v="Female"/>
    <s v="Undergraduate"/>
    <s v="Monaco"/>
    <n v="4.5"/>
    <s v="Instagram"/>
    <s v="Yes"/>
    <n v="5.8"/>
    <n v="6"/>
    <s v="Complicated"/>
    <n v="3"/>
    <n v="7"/>
    <s v="Instagram"/>
    <n v="1"/>
    <s v="5.8"/>
    <s v="OK"/>
    <x v="0"/>
    <x v="0"/>
    <x v="4"/>
    <n v="6.6"/>
    <b v="1"/>
  </r>
  <r>
    <n v="87"/>
    <n v="19"/>
    <s v="Male"/>
    <s v="High School"/>
    <s v="Andorra"/>
    <n v="5.3"/>
    <s v="TikTok"/>
    <s v="Yes"/>
    <n v="5.5"/>
    <n v="5"/>
    <s v="In Relationship"/>
    <n v="4"/>
    <n v="8"/>
    <s v="Tiktok"/>
    <n v="2"/>
    <s v="5.5"/>
    <s v="OK"/>
    <x v="0"/>
    <x v="0"/>
    <x v="0"/>
    <n v="6.5"/>
    <b v="1"/>
  </r>
  <r>
    <n v="88"/>
    <n v="23"/>
    <s v="Female"/>
    <s v="Graduate"/>
    <s v="San Marino"/>
    <n v="2.6"/>
    <s v="LinkedIn"/>
    <s v="No"/>
    <n v="7.3"/>
    <n v="8"/>
    <s v="Single"/>
    <n v="1"/>
    <n v="4"/>
    <s v="Linkedin"/>
    <n v="0"/>
    <s v="7.3"/>
    <s v="OK"/>
    <x v="1"/>
    <x v="1"/>
    <x v="3"/>
    <n v="6.5"/>
    <b v="1"/>
  </r>
  <r>
    <n v="89"/>
    <n v="20"/>
    <s v="Male"/>
    <s v="Undergraduate"/>
    <s v="Vatican City"/>
    <n v="4.4000000000000004"/>
    <s v="YouTube"/>
    <s v="Yes"/>
    <n v="6"/>
    <n v="6"/>
    <s v="Complicated"/>
    <n v="3"/>
    <n v="7"/>
    <s v="Youtube"/>
    <n v="1"/>
    <s v="6"/>
    <s v="OK"/>
    <x v="0"/>
    <x v="0"/>
    <x v="4"/>
    <n v="6.5"/>
    <b v="1"/>
  </r>
  <r>
    <n v="90"/>
    <n v="18"/>
    <s v="Female"/>
    <s v="High School"/>
    <s v="Liechtenstein"/>
    <n v="5.8"/>
    <s v="Instagram"/>
    <s v="Yes"/>
    <n v="5.2"/>
    <n v="5"/>
    <s v="Single"/>
    <n v="4"/>
    <n v="9"/>
    <s v="Instagram"/>
    <n v="1"/>
    <s v="5.2"/>
    <s v="OK"/>
    <x v="0"/>
    <x v="0"/>
    <x v="2"/>
    <n v="6.5"/>
    <b v="1"/>
  </r>
  <r>
    <n v="91"/>
    <n v="22"/>
    <s v="Male"/>
    <s v="Graduate"/>
    <s v="Montenegro"/>
    <n v="2.9"/>
    <s v="Facebook"/>
    <s v="No"/>
    <n v="7"/>
    <n v="7"/>
    <s v="In Relationship"/>
    <n v="2"/>
    <n v="5"/>
    <s v="Facebook"/>
    <n v="0"/>
    <s v="7"/>
    <s v="OK"/>
    <x v="1"/>
    <x v="2"/>
    <x v="6"/>
    <n v="6.5"/>
    <b v="1"/>
  </r>
  <r>
    <n v="92"/>
    <n v="19"/>
    <s v="Female"/>
    <s v="Undergraduate"/>
    <s v="Albania"/>
    <n v="4.7"/>
    <s v="TikTok"/>
    <s v="Yes"/>
    <n v="5.8"/>
    <n v="6"/>
    <s v="Complicated"/>
    <n v="3"/>
    <n v="7"/>
    <s v="Tiktok"/>
    <n v="2"/>
    <s v="5.8"/>
    <s v="OK"/>
    <x v="0"/>
    <x v="0"/>
    <x v="4"/>
    <n v="6.5"/>
    <b v="1"/>
  </r>
  <r>
    <n v="93"/>
    <n v="21"/>
    <s v="Male"/>
    <s v="Undergraduate"/>
    <s v="North Macedonia"/>
    <n v="3.7"/>
    <s v="Snapchat"/>
    <s v="No"/>
    <n v="6.5"/>
    <n v="7"/>
    <s v="Single"/>
    <n v="2"/>
    <n v="6"/>
    <s v="Snapchat"/>
    <n v="1"/>
    <s v="6.5"/>
    <s v="OK"/>
    <x v="1"/>
    <x v="2"/>
    <x v="7"/>
    <n v="6.5"/>
    <b v="1"/>
  </r>
  <r>
    <n v="94"/>
    <n v="20"/>
    <s v="Female"/>
    <s v="High School"/>
    <s v="Kosovo"/>
    <n v="5.5"/>
    <s v="Instagram"/>
    <s v="Yes"/>
    <n v="5.4"/>
    <n v="5"/>
    <s v="In Relationship"/>
    <n v="4"/>
    <n v="8"/>
    <s v="Instagram"/>
    <n v="1"/>
    <s v="5.4"/>
    <s v="OK"/>
    <x v="0"/>
    <x v="0"/>
    <x v="0"/>
    <n v="6.5"/>
    <b v="1"/>
  </r>
  <r>
    <n v="95"/>
    <n v="23"/>
    <s v="Male"/>
    <s v="Graduate"/>
    <s v="Bosnia"/>
    <n v="2.4"/>
    <s v="LinkedIn"/>
    <s v="No"/>
    <n v="7.4"/>
    <n v="8"/>
    <s v="Complicated"/>
    <n v="1"/>
    <n v="4"/>
    <s v="Linkedin"/>
    <n v="0"/>
    <s v="7.4"/>
    <s v="OK"/>
    <x v="1"/>
    <x v="1"/>
    <x v="3"/>
    <n v="6.5"/>
    <b v="1"/>
  </r>
  <r>
    <n v="96"/>
    <n v="19"/>
    <s v="Female"/>
    <s v="Undergraduate"/>
    <s v="Qatar"/>
    <n v="4.9000000000000004"/>
    <s v="TikTok"/>
    <s v="Yes"/>
    <n v="5.7"/>
    <n v="6"/>
    <s v="Single"/>
    <n v="3"/>
    <n v="7"/>
    <s v="Tiktok"/>
    <n v="2"/>
    <s v="5.7"/>
    <s v="OK"/>
    <x v="0"/>
    <x v="0"/>
    <x v="4"/>
    <n v="6.5"/>
    <b v="1"/>
  </r>
  <r>
    <n v="97"/>
    <n v="18"/>
    <s v="Male"/>
    <s v="High School"/>
    <s v="Kuwait"/>
    <n v="5.7"/>
    <s v="Snapchat"/>
    <s v="Yes"/>
    <n v="5.3"/>
    <n v="5"/>
    <s v="In Relationship"/>
    <n v="4"/>
    <n v="8"/>
    <s v="Snapchat"/>
    <n v="1"/>
    <s v="5.3"/>
    <s v="OK"/>
    <x v="0"/>
    <x v="0"/>
    <x v="0"/>
    <n v="6.4"/>
    <b v="1"/>
  </r>
  <r>
    <n v="98"/>
    <n v="22"/>
    <s v="Female"/>
    <s v="Graduate"/>
    <s v="Bahrain"/>
    <n v="2.8"/>
    <s v="LinkedIn"/>
    <s v="No"/>
    <n v="7.1"/>
    <n v="8"/>
    <s v="Complicated"/>
    <n v="1"/>
    <n v="4"/>
    <s v="Linkedin"/>
    <n v="0"/>
    <s v="7.1"/>
    <s v="OK"/>
    <x v="1"/>
    <x v="1"/>
    <x v="3"/>
    <n v="6.4"/>
    <b v="1"/>
  </r>
  <r>
    <n v="99"/>
    <n v="20"/>
    <s v="Male"/>
    <s v="Undergraduate"/>
    <s v="Oman"/>
    <n v="4.5999999999999996"/>
    <s v="Instagram"/>
    <s v="Yes"/>
    <n v="5.9"/>
    <n v="6"/>
    <s v="Single"/>
    <n v="3"/>
    <n v="7"/>
    <s v="Instagram"/>
    <n v="1"/>
    <s v="5.9"/>
    <s v="OK"/>
    <x v="0"/>
    <x v="0"/>
    <x v="4"/>
    <n v="6.4"/>
    <b v="1"/>
  </r>
  <r>
    <n v="100"/>
    <n v="21"/>
    <s v="Female"/>
    <s v="Undergraduate"/>
    <s v="Jordan"/>
    <n v="5.4"/>
    <s v="TikTok"/>
    <s v="Yes"/>
    <n v="5.5"/>
    <n v="5"/>
    <s v="In Relationship"/>
    <n v="4"/>
    <n v="8"/>
    <s v="Tiktok"/>
    <n v="2"/>
    <s v="5.5"/>
    <s v="OK"/>
    <x v="0"/>
    <x v="0"/>
    <x v="0"/>
    <n v="6.4"/>
    <b v="1"/>
  </r>
  <r>
    <n v="101"/>
    <n v="19"/>
    <s v="Male"/>
    <s v="High School"/>
    <s v="Lebanon"/>
    <n v="5.8"/>
    <s v="YouTube"/>
    <s v="Yes"/>
    <n v="5.2"/>
    <n v="5"/>
    <s v="Complicated"/>
    <n v="4"/>
    <n v="9"/>
    <s v="Youtube"/>
    <n v="1"/>
    <s v="5.2"/>
    <s v="OK"/>
    <x v="0"/>
    <x v="0"/>
    <x v="2"/>
    <n v="6.4"/>
    <b v="1"/>
  </r>
  <r>
    <n v="102"/>
    <n v="23"/>
    <s v="Female"/>
    <s v="Graduate"/>
    <s v="Iraq"/>
    <n v="2.5"/>
    <s v="LinkedIn"/>
    <s v="No"/>
    <n v="7.3"/>
    <n v="8"/>
    <s v="Single"/>
    <n v="1"/>
    <n v="4"/>
    <s v="Linkedin"/>
    <n v="0"/>
    <s v="7.3"/>
    <s v="OK"/>
    <x v="1"/>
    <x v="1"/>
    <x v="3"/>
    <n v="6.4"/>
    <b v="1"/>
  </r>
  <r>
    <n v="103"/>
    <n v="20"/>
    <s v="Male"/>
    <s v="Undergraduate"/>
    <s v="Yemen"/>
    <n v="4.7"/>
    <s v="Facebook"/>
    <s v="Yes"/>
    <n v="5.8"/>
    <n v="6"/>
    <s v="In Relationship"/>
    <n v="3"/>
    <n v="7"/>
    <s v="Facebook"/>
    <n v="0"/>
    <s v="5.8"/>
    <s v="OK"/>
    <x v="0"/>
    <x v="0"/>
    <x v="4"/>
    <n v="6.4"/>
    <b v="1"/>
  </r>
  <r>
    <n v="104"/>
    <n v="18"/>
    <s v="Female"/>
    <s v="High School"/>
    <s v="Syria"/>
    <n v="5.6"/>
    <s v="Instagram"/>
    <s v="Yes"/>
    <n v="5.4"/>
    <n v="5"/>
    <s v="Single"/>
    <n v="4"/>
    <n v="8"/>
    <s v="Instagram"/>
    <n v="1"/>
    <s v="5.4"/>
    <s v="OK"/>
    <x v="0"/>
    <x v="0"/>
    <x v="0"/>
    <n v="6.4"/>
    <b v="1"/>
  </r>
  <r>
    <n v="105"/>
    <n v="22"/>
    <s v="Male"/>
    <s v="Graduate"/>
    <s v="Afghanistan"/>
    <n v="2.9"/>
    <s v="LinkedIn"/>
    <s v="No"/>
    <n v="7"/>
    <n v="7"/>
    <s v="Complicated"/>
    <n v="2"/>
    <n v="5"/>
    <s v="Linkedin"/>
    <n v="0"/>
    <s v="7"/>
    <s v="OK"/>
    <x v="1"/>
    <x v="2"/>
    <x v="6"/>
    <n v="6.4"/>
    <b v="1"/>
  </r>
  <r>
    <n v="106"/>
    <n v="19"/>
    <s v="Female"/>
    <s v="Undergraduate"/>
    <s v="Pakistan"/>
    <n v="4.8"/>
    <s v="TikTok"/>
    <s v="Yes"/>
    <n v="5.7"/>
    <n v="6"/>
    <s v="In Relationship"/>
    <n v="3"/>
    <n v="7"/>
    <s v="Tiktok"/>
    <n v="2"/>
    <s v="5.7"/>
    <s v="OK"/>
    <x v="0"/>
    <x v="0"/>
    <x v="4"/>
    <n v="6.4"/>
    <b v="1"/>
  </r>
  <r>
    <n v="107"/>
    <n v="21"/>
    <s v="Male"/>
    <s v="Undergraduate"/>
    <s v="Nepal"/>
    <n v="3.8"/>
    <s v="YouTube"/>
    <s v="No"/>
    <n v="6.6"/>
    <n v="7"/>
    <s v="Single"/>
    <n v="2"/>
    <n v="6"/>
    <s v="Youtube"/>
    <n v="1"/>
    <s v="6.6"/>
    <s v="OK"/>
    <x v="1"/>
    <x v="2"/>
    <x v="7"/>
    <n v="6.3"/>
    <b v="1"/>
  </r>
  <r>
    <n v="108"/>
    <n v="20"/>
    <s v="Female"/>
    <s v="High School"/>
    <s v="Bhutan"/>
    <n v="5.5"/>
    <s v="Snapchat"/>
    <s v="Yes"/>
    <n v="5.5"/>
    <n v="5"/>
    <s v="Complicated"/>
    <n v="4"/>
    <n v="8"/>
    <s v="Snapchat"/>
    <n v="1"/>
    <s v="5.5"/>
    <s v="OK"/>
    <x v="0"/>
    <x v="0"/>
    <x v="0"/>
    <n v="6.3"/>
    <b v="1"/>
  </r>
  <r>
    <n v="109"/>
    <n v="23"/>
    <s v="Male"/>
    <s v="Graduate"/>
    <s v="Sri Lanka"/>
    <n v="2.6"/>
    <s v="LinkedIn"/>
    <s v="No"/>
    <n v="7.2"/>
    <n v="8"/>
    <s v="In Relationship"/>
    <n v="1"/>
    <n v="4"/>
    <s v="Linkedin"/>
    <n v="0"/>
    <s v="7.2"/>
    <s v="OK"/>
    <x v="1"/>
    <x v="1"/>
    <x v="3"/>
    <n v="6.3"/>
    <b v="1"/>
  </r>
  <r>
    <n v="110"/>
    <n v="19"/>
    <s v="Female"/>
    <s v="Undergraduate"/>
    <s v="Maldives"/>
    <n v="4.9000000000000004"/>
    <s v="Instagram"/>
    <s v="Yes"/>
    <n v="5.8"/>
    <n v="6"/>
    <s v="Single"/>
    <n v="3"/>
    <n v="7"/>
    <s v="Instagram"/>
    <n v="1"/>
    <s v="5.8"/>
    <s v="OK"/>
    <x v="0"/>
    <x v="0"/>
    <x v="4"/>
    <n v="6.3"/>
    <b v="1"/>
  </r>
  <r>
    <n v="111"/>
    <n v="20"/>
    <s v="Male"/>
    <s v="Undergraduate"/>
    <s v="Bangladesh"/>
    <n v="6.1"/>
    <s v="Instagram"/>
    <s v="Yes"/>
    <n v="6.2"/>
    <n v="5"/>
    <s v="Single"/>
    <n v="4"/>
    <n v="8"/>
    <s v="Instagram"/>
    <n v="1"/>
    <s v="6.2"/>
    <s v="OK"/>
    <x v="0"/>
    <x v="0"/>
    <x v="0"/>
    <n v="6.3"/>
    <b v="1"/>
  </r>
  <r>
    <n v="112"/>
    <n v="21"/>
    <s v="Female"/>
    <s v="Undergraduate"/>
    <s v="India"/>
    <n v="5.8"/>
    <s v="TikTok"/>
    <s v="Yes"/>
    <n v="5.9"/>
    <n v="6"/>
    <s v="In Relationship"/>
    <n v="3"/>
    <n v="7"/>
    <s v="Tiktok"/>
    <n v="2"/>
    <s v="5.9"/>
    <s v="OK"/>
    <x v="0"/>
    <x v="0"/>
    <x v="4"/>
    <n v="6.3"/>
    <b v="1"/>
  </r>
  <r>
    <n v="113"/>
    <n v="19"/>
    <s v="Male"/>
    <s v="Undergraduate"/>
    <s v="Nepal"/>
    <n v="4.9000000000000004"/>
    <s v="Facebook"/>
    <s v="No"/>
    <n v="7.1"/>
    <n v="7"/>
    <s v="Single"/>
    <n v="2"/>
    <n v="5"/>
    <s v="Facebook"/>
    <n v="0"/>
    <s v="7.1"/>
    <s v="OK"/>
    <x v="1"/>
    <x v="2"/>
    <x v="6"/>
    <n v="6.3"/>
    <b v="1"/>
  </r>
  <r>
    <n v="114"/>
    <n v="22"/>
    <s v="Female"/>
    <s v="Graduate"/>
    <s v="Pakistan"/>
    <n v="5.5"/>
    <s v="Instagram"/>
    <s v="Yes"/>
    <n v="6"/>
    <n v="5"/>
    <s v="Single"/>
    <n v="4"/>
    <n v="8"/>
    <s v="Instagram"/>
    <n v="1"/>
    <s v="6"/>
    <s v="OK"/>
    <x v="0"/>
    <x v="0"/>
    <x v="0"/>
    <n v="6.3"/>
    <b v="1"/>
  </r>
  <r>
    <n v="115"/>
    <n v="20"/>
    <s v="Male"/>
    <s v="Undergraduate"/>
    <s v="Sri Lanka"/>
    <n v="5.2"/>
    <s v="TikTok"/>
    <s v="Yes"/>
    <n v="6.3"/>
    <n v="6"/>
    <s v="In Relationship"/>
    <n v="3"/>
    <n v="7"/>
    <s v="Tiktok"/>
    <n v="2"/>
    <s v="6.3"/>
    <s v="OK"/>
    <x v="0"/>
    <x v="0"/>
    <x v="4"/>
    <n v="6.3"/>
    <b v="1"/>
  </r>
  <r>
    <n v="116"/>
    <n v="19"/>
    <s v="Female"/>
    <s v="Undergraduate"/>
    <s v="Maldives"/>
    <n v="4.8"/>
    <s v="Instagram"/>
    <s v="No"/>
    <n v="7.2"/>
    <n v="8"/>
    <s v="Single"/>
    <n v="2"/>
    <n v="5"/>
    <s v="Instagram"/>
    <n v="1"/>
    <s v="7.2"/>
    <s v="OK"/>
    <x v="1"/>
    <x v="2"/>
    <x v="6"/>
    <n v="6.3"/>
    <b v="1"/>
  </r>
  <r>
    <n v="117"/>
    <n v="21"/>
    <s v="Male"/>
    <s v="Graduate"/>
    <s v="Bangladesh"/>
    <n v="6"/>
    <s v="Facebook"/>
    <s v="Yes"/>
    <n v="5.8"/>
    <n v="5"/>
    <s v="In Relationship"/>
    <n v="4"/>
    <n v="8"/>
    <s v="Facebook"/>
    <n v="0"/>
    <s v="5.8"/>
    <s v="OK"/>
    <x v="0"/>
    <x v="0"/>
    <x v="0"/>
    <n v="6.3"/>
    <b v="1"/>
  </r>
  <r>
    <n v="118"/>
    <n v="20"/>
    <s v="Female"/>
    <s v="Undergraduate"/>
    <s v="India"/>
    <n v="5.7"/>
    <s v="Instagram"/>
    <s v="Yes"/>
    <n v="6.1"/>
    <n v="6"/>
    <s v="Single"/>
    <n v="3"/>
    <n v="7"/>
    <s v="Instagram"/>
    <n v="1"/>
    <s v="6.1"/>
    <s v="OK"/>
    <x v="0"/>
    <x v="0"/>
    <x v="4"/>
    <n v="6.2"/>
    <b v="1"/>
  </r>
  <r>
    <n v="119"/>
    <n v="22"/>
    <s v="Male"/>
    <s v="Graduate"/>
    <s v="Nepal"/>
    <n v="4.7"/>
    <s v="TikTok"/>
    <s v="No"/>
    <n v="7.3"/>
    <n v="7"/>
    <s v="Single"/>
    <n v="2"/>
    <n v="5"/>
    <s v="Tiktok"/>
    <n v="2"/>
    <s v="7.3"/>
    <s v="OK"/>
    <x v="1"/>
    <x v="2"/>
    <x v="6"/>
    <n v="6.2"/>
    <b v="1"/>
  </r>
  <r>
    <n v="120"/>
    <n v="19"/>
    <s v="Female"/>
    <s v="Undergraduate"/>
    <s v="Pakistan"/>
    <n v="5.4"/>
    <s v="Instagram"/>
    <s v="Yes"/>
    <n v="6.2"/>
    <n v="5"/>
    <s v="In Relationship"/>
    <n v="4"/>
    <n v="8"/>
    <s v="Instagram"/>
    <n v="1"/>
    <s v="6.2"/>
    <s v="OK"/>
    <x v="0"/>
    <x v="0"/>
    <x v="0"/>
    <n v="6.2"/>
    <b v="1"/>
  </r>
  <r>
    <n v="121"/>
    <n v="20"/>
    <s v="Male"/>
    <s v="Undergraduate"/>
    <s v="Sri Lanka"/>
    <n v="5.9"/>
    <s v="Facebook"/>
    <s v="Yes"/>
    <n v="5.9"/>
    <n v="6"/>
    <s v="Single"/>
    <n v="3"/>
    <n v="7"/>
    <s v="Facebook"/>
    <n v="0"/>
    <s v="5.9"/>
    <s v="OK"/>
    <x v="0"/>
    <x v="0"/>
    <x v="4"/>
    <n v="6.2"/>
    <b v="1"/>
  </r>
  <r>
    <n v="122"/>
    <n v="21"/>
    <s v="Female"/>
    <s v="Graduate"/>
    <s v="Maldives"/>
    <n v="4.5999999999999996"/>
    <s v="Instagram"/>
    <s v="No"/>
    <n v="7.4"/>
    <n v="8"/>
    <s v="In Relationship"/>
    <n v="2"/>
    <n v="5"/>
    <s v="Instagram"/>
    <n v="1"/>
    <s v="7.4"/>
    <s v="OK"/>
    <x v="1"/>
    <x v="2"/>
    <x v="6"/>
    <n v="6.2"/>
    <b v="1"/>
  </r>
  <r>
    <n v="123"/>
    <n v="19"/>
    <s v="Male"/>
    <s v="Undergraduate"/>
    <s v="Bangladesh"/>
    <n v="5.3"/>
    <s v="TikTok"/>
    <s v="Yes"/>
    <n v="6.3"/>
    <n v="5"/>
    <s v="Single"/>
    <n v="4"/>
    <n v="8"/>
    <s v="Tiktok"/>
    <n v="2"/>
    <s v="6.3"/>
    <s v="OK"/>
    <x v="0"/>
    <x v="0"/>
    <x v="0"/>
    <n v="6.2"/>
    <b v="1"/>
  </r>
  <r>
    <n v="124"/>
    <n v="22"/>
    <s v="Female"/>
    <s v="Graduate"/>
    <s v="India"/>
    <n v="5.8"/>
    <s v="Instagram"/>
    <s v="Yes"/>
    <n v="5.8"/>
    <n v="6"/>
    <s v="In Relationship"/>
    <n v="3"/>
    <n v="7"/>
    <s v="Instagram"/>
    <n v="1"/>
    <s v="5.8"/>
    <s v="OK"/>
    <x v="0"/>
    <x v="0"/>
    <x v="4"/>
    <n v="6.2"/>
    <b v="1"/>
  </r>
  <r>
    <n v="125"/>
    <n v="20"/>
    <s v="Male"/>
    <s v="Undergraduate"/>
    <s v="Nepal"/>
    <n v="4.5"/>
    <s v="Facebook"/>
    <s v="No"/>
    <n v="7.5"/>
    <n v="7"/>
    <s v="Single"/>
    <n v="2"/>
    <n v="5"/>
    <s v="Facebook"/>
    <n v="0"/>
    <s v="7.5"/>
    <s v="OK"/>
    <x v="1"/>
    <x v="2"/>
    <x v="6"/>
    <n v="6.2"/>
    <b v="1"/>
  </r>
  <r>
    <n v="126"/>
    <n v="21"/>
    <s v="Female"/>
    <s v="Graduate"/>
    <s v="Pakistan"/>
    <n v="5.2"/>
    <s v="Instagram"/>
    <s v="Yes"/>
    <n v="6.4"/>
    <n v="5"/>
    <s v="In Relationship"/>
    <n v="4"/>
    <n v="8"/>
    <s v="Instagram"/>
    <n v="1"/>
    <s v="6.4"/>
    <s v="OK"/>
    <x v="0"/>
    <x v="0"/>
    <x v="0"/>
    <n v="6.2"/>
    <b v="1"/>
  </r>
  <r>
    <n v="127"/>
    <n v="19"/>
    <s v="Male"/>
    <s v="Undergraduate"/>
    <s v="Sri Lanka"/>
    <n v="5.7"/>
    <s v="TikTok"/>
    <s v="Yes"/>
    <n v="5.7"/>
    <n v="6"/>
    <s v="Single"/>
    <n v="3"/>
    <n v="7"/>
    <s v="Tiktok"/>
    <n v="2"/>
    <s v="5.7"/>
    <s v="OK"/>
    <x v="0"/>
    <x v="0"/>
    <x v="4"/>
    <n v="6.2"/>
    <b v="1"/>
  </r>
  <r>
    <n v="128"/>
    <n v="20"/>
    <s v="Female"/>
    <s v="Undergraduate"/>
    <s v="Maldives"/>
    <n v="4.4000000000000004"/>
    <s v="Instagram"/>
    <s v="No"/>
    <n v="7.6"/>
    <n v="8"/>
    <s v="In Relationship"/>
    <n v="2"/>
    <n v="5"/>
    <s v="Instagram"/>
    <n v="1"/>
    <s v="7.6"/>
    <s v="OK"/>
    <x v="1"/>
    <x v="2"/>
    <x v="6"/>
    <n v="6.2"/>
    <b v="1"/>
  </r>
  <r>
    <n v="129"/>
    <n v="22"/>
    <s v="Male"/>
    <s v="Graduate"/>
    <s v="Bangladesh"/>
    <n v="5.0999999999999996"/>
    <s v="Facebook"/>
    <s v="Yes"/>
    <n v="6.5"/>
    <n v="5"/>
    <s v="Single"/>
    <n v="4"/>
    <n v="8"/>
    <s v="Facebook"/>
    <n v="0"/>
    <s v="6.5"/>
    <s v="OK"/>
    <x v="0"/>
    <x v="0"/>
    <x v="0"/>
    <n v="6.2"/>
    <b v="1"/>
  </r>
  <r>
    <n v="130"/>
    <n v="21"/>
    <s v="Female"/>
    <s v="Graduate"/>
    <s v="India"/>
    <n v="5.6"/>
    <s v="Instagram"/>
    <s v="Yes"/>
    <n v="5.6"/>
    <n v="6"/>
    <s v="In Relationship"/>
    <n v="3"/>
    <n v="7"/>
    <s v="Instagram"/>
    <n v="1"/>
    <s v="5.6"/>
    <s v="OK"/>
    <x v="0"/>
    <x v="0"/>
    <x v="4"/>
    <n v="6.2"/>
    <b v="1"/>
  </r>
  <r>
    <n v="131"/>
    <n v="19"/>
    <s v="Male"/>
    <s v="Undergraduate"/>
    <s v="Nepal"/>
    <n v="4.3"/>
    <s v="TikTok"/>
    <s v="No"/>
    <n v="7.7"/>
    <n v="7"/>
    <s v="Single"/>
    <n v="2"/>
    <n v="5"/>
    <s v="Tiktok"/>
    <n v="2"/>
    <s v="7.7"/>
    <s v="OK"/>
    <x v="1"/>
    <x v="2"/>
    <x v="6"/>
    <n v="6.1"/>
    <b v="1"/>
  </r>
  <r>
    <n v="132"/>
    <n v="20"/>
    <s v="Female"/>
    <s v="Undergraduate"/>
    <s v="Pakistan"/>
    <n v="5"/>
    <s v="Instagram"/>
    <s v="Yes"/>
    <n v="6.6"/>
    <n v="5"/>
    <s v="In Relationship"/>
    <n v="4"/>
    <n v="8"/>
    <s v="Instagram"/>
    <n v="1"/>
    <s v="6.6"/>
    <s v="OK"/>
    <x v="0"/>
    <x v="0"/>
    <x v="0"/>
    <n v="6.1"/>
    <b v="1"/>
  </r>
  <r>
    <n v="133"/>
    <n v="22"/>
    <s v="Male"/>
    <s v="Graduate"/>
    <s v="Sri Lanka"/>
    <n v="5.5"/>
    <s v="Facebook"/>
    <s v="Yes"/>
    <n v="5.5"/>
    <n v="6"/>
    <s v="Single"/>
    <n v="3"/>
    <n v="7"/>
    <s v="Facebook"/>
    <n v="0"/>
    <s v="5.5"/>
    <s v="OK"/>
    <x v="0"/>
    <x v="0"/>
    <x v="4"/>
    <n v="6.1"/>
    <b v="1"/>
  </r>
  <r>
    <n v="134"/>
    <n v="21"/>
    <s v="Female"/>
    <s v="Graduate"/>
    <s v="Maldives"/>
    <n v="4.2"/>
    <s v="Instagram"/>
    <s v="No"/>
    <n v="7.8"/>
    <n v="8"/>
    <s v="In Relationship"/>
    <n v="2"/>
    <n v="5"/>
    <s v="Instagram"/>
    <n v="1"/>
    <s v="7.8"/>
    <s v="OK"/>
    <x v="1"/>
    <x v="2"/>
    <x v="6"/>
    <n v="6.1"/>
    <b v="1"/>
  </r>
  <r>
    <n v="135"/>
    <n v="19"/>
    <s v="Male"/>
    <s v="Undergraduate"/>
    <s v="Bangladesh"/>
    <n v="4.9000000000000004"/>
    <s v="TikTok"/>
    <s v="Yes"/>
    <n v="6.7"/>
    <n v="5"/>
    <s v="Single"/>
    <n v="4"/>
    <n v="8"/>
    <s v="Tiktok"/>
    <n v="2"/>
    <s v="6.7"/>
    <s v="OK"/>
    <x v="0"/>
    <x v="0"/>
    <x v="0"/>
    <n v="6.1"/>
    <b v="1"/>
  </r>
  <r>
    <n v="136"/>
    <n v="20"/>
    <s v="Female"/>
    <s v="Undergraduate"/>
    <s v="India"/>
    <n v="5.4"/>
    <s v="Instagram"/>
    <s v="Yes"/>
    <n v="5.4"/>
    <n v="6"/>
    <s v="In Relationship"/>
    <n v="3"/>
    <n v="7"/>
    <s v="Instagram"/>
    <n v="1"/>
    <s v="5.4"/>
    <s v="OK"/>
    <x v="0"/>
    <x v="0"/>
    <x v="4"/>
    <n v="6.1"/>
    <b v="1"/>
  </r>
  <r>
    <n v="137"/>
    <n v="22"/>
    <s v="Male"/>
    <s v="Graduate"/>
    <s v="Nepal"/>
    <n v="4.0999999999999996"/>
    <s v="Facebook"/>
    <s v="No"/>
    <n v="7.9"/>
    <n v="7"/>
    <s v="Single"/>
    <n v="2"/>
    <n v="5"/>
    <s v="Facebook"/>
    <n v="0"/>
    <s v="7.9"/>
    <s v="OK"/>
    <x v="1"/>
    <x v="2"/>
    <x v="6"/>
    <n v="6.1"/>
    <b v="1"/>
  </r>
  <r>
    <n v="138"/>
    <n v="21"/>
    <s v="Female"/>
    <s v="Graduate"/>
    <s v="Pakistan"/>
    <n v="4.8"/>
    <s v="Instagram"/>
    <s v="Yes"/>
    <n v="6.8"/>
    <n v="5"/>
    <s v="In Relationship"/>
    <n v="4"/>
    <n v="8"/>
    <s v="Instagram"/>
    <n v="1"/>
    <s v="6.8"/>
    <s v="OK"/>
    <x v="0"/>
    <x v="0"/>
    <x v="0"/>
    <n v="6.1"/>
    <b v="1"/>
  </r>
  <r>
    <n v="139"/>
    <n v="19"/>
    <s v="Male"/>
    <s v="Undergraduate"/>
    <s v="Sri Lanka"/>
    <n v="5.3"/>
    <s v="TikTok"/>
    <s v="Yes"/>
    <n v="5.3"/>
    <n v="6"/>
    <s v="Single"/>
    <n v="3"/>
    <n v="7"/>
    <s v="Tiktok"/>
    <n v="2"/>
    <s v="5.3"/>
    <s v="OK"/>
    <x v="0"/>
    <x v="0"/>
    <x v="4"/>
    <n v="6.1"/>
    <b v="1"/>
  </r>
  <r>
    <n v="140"/>
    <n v="20"/>
    <s v="Female"/>
    <s v="Undergraduate"/>
    <s v="Maldives"/>
    <n v="4"/>
    <s v="Instagram"/>
    <s v="No"/>
    <n v="8"/>
    <n v="8"/>
    <s v="In Relationship"/>
    <n v="2"/>
    <n v="5"/>
    <s v="Instagram"/>
    <n v="1"/>
    <s v="8"/>
    <s v="OK"/>
    <x v="1"/>
    <x v="2"/>
    <x v="6"/>
    <n v="6.1"/>
    <b v="1"/>
  </r>
  <r>
    <n v="141"/>
    <n v="22"/>
    <s v="Male"/>
    <s v="Graduate"/>
    <s v="Bangladesh"/>
    <n v="4.7"/>
    <s v="Facebook"/>
    <s v="Yes"/>
    <n v="6.9"/>
    <n v="5"/>
    <s v="Single"/>
    <n v="4"/>
    <n v="8"/>
    <s v="Facebook"/>
    <n v="0"/>
    <s v="6.9"/>
    <s v="OK"/>
    <x v="0"/>
    <x v="0"/>
    <x v="0"/>
    <n v="6.1"/>
    <b v="1"/>
  </r>
  <r>
    <n v="142"/>
    <n v="21"/>
    <s v="Female"/>
    <s v="Graduate"/>
    <s v="India"/>
    <n v="5.2"/>
    <s v="Instagram"/>
    <s v="Yes"/>
    <n v="5.2"/>
    <n v="6"/>
    <s v="In Relationship"/>
    <n v="3"/>
    <n v="7"/>
    <s v="Instagram"/>
    <n v="1"/>
    <s v="5.2"/>
    <s v="OK"/>
    <x v="0"/>
    <x v="0"/>
    <x v="4"/>
    <n v="6.1"/>
    <b v="1"/>
  </r>
  <r>
    <n v="143"/>
    <n v="19"/>
    <s v="Male"/>
    <s v="Undergraduate"/>
    <s v="Nepal"/>
    <n v="3.9"/>
    <s v="TikTok"/>
    <s v="No"/>
    <n v="8.1"/>
    <n v="7"/>
    <s v="Single"/>
    <n v="2"/>
    <n v="5"/>
    <s v="Tiktok"/>
    <n v="2"/>
    <s v="8.1"/>
    <s v="OK"/>
    <x v="1"/>
    <x v="2"/>
    <x v="6"/>
    <n v="6.1"/>
    <b v="1"/>
  </r>
  <r>
    <n v="144"/>
    <n v="20"/>
    <s v="Female"/>
    <s v="Undergraduate"/>
    <s v="Pakistan"/>
    <n v="4.5999999999999996"/>
    <s v="Instagram"/>
    <s v="Yes"/>
    <n v="7"/>
    <n v="5"/>
    <s v="In Relationship"/>
    <n v="4"/>
    <n v="8"/>
    <s v="Instagram"/>
    <n v="1"/>
    <s v="7"/>
    <s v="OK"/>
    <x v="0"/>
    <x v="0"/>
    <x v="0"/>
    <n v="6"/>
    <b v="1"/>
  </r>
  <r>
    <n v="145"/>
    <n v="22"/>
    <s v="Male"/>
    <s v="Graduate"/>
    <s v="Sri Lanka"/>
    <n v="5.0999999999999996"/>
    <s v="Facebook"/>
    <s v="Yes"/>
    <n v="5.0999999999999996"/>
    <n v="6"/>
    <s v="Single"/>
    <n v="3"/>
    <n v="7"/>
    <s v="Facebook"/>
    <n v="0"/>
    <s v="5.1"/>
    <s v="OK"/>
    <x v="0"/>
    <x v="0"/>
    <x v="4"/>
    <n v="6"/>
    <b v="1"/>
  </r>
  <r>
    <n v="146"/>
    <n v="21"/>
    <s v="Female"/>
    <s v="Graduate"/>
    <s v="Maldives"/>
    <n v="3.8"/>
    <s v="Instagram"/>
    <s v="No"/>
    <n v="8.1999999999999993"/>
    <n v="8"/>
    <s v="In Relationship"/>
    <n v="2"/>
    <n v="5"/>
    <s v="Instagram"/>
    <n v="1"/>
    <s v="8.2"/>
    <s v="OK"/>
    <x v="1"/>
    <x v="2"/>
    <x v="6"/>
    <n v="6"/>
    <b v="1"/>
  </r>
  <r>
    <n v="147"/>
    <n v="19"/>
    <s v="Male"/>
    <s v="Undergraduate"/>
    <s v="Bangladesh"/>
    <n v="4.5"/>
    <s v="TikTok"/>
    <s v="Yes"/>
    <n v="7.1"/>
    <n v="5"/>
    <s v="Single"/>
    <n v="4"/>
    <n v="8"/>
    <s v="Tiktok"/>
    <n v="2"/>
    <s v="7.1"/>
    <s v="OK"/>
    <x v="0"/>
    <x v="0"/>
    <x v="0"/>
    <n v="6"/>
    <b v="1"/>
  </r>
  <r>
    <n v="148"/>
    <n v="20"/>
    <s v="Female"/>
    <s v="Undergraduate"/>
    <s v="India"/>
    <n v="5"/>
    <s v="Instagram"/>
    <s v="Yes"/>
    <n v="5"/>
    <n v="6"/>
    <s v="In Relationship"/>
    <n v="3"/>
    <n v="7"/>
    <s v="Instagram"/>
    <n v="1"/>
    <s v="5"/>
    <s v="OK"/>
    <x v="0"/>
    <x v="0"/>
    <x v="4"/>
    <n v="6"/>
    <b v="1"/>
  </r>
  <r>
    <n v="149"/>
    <n v="22"/>
    <s v="Male"/>
    <s v="Graduate"/>
    <s v="Nepal"/>
    <n v="3.7"/>
    <s v="Facebook"/>
    <s v="No"/>
    <n v="8.3000000000000007"/>
    <n v="7"/>
    <s v="Single"/>
    <n v="2"/>
    <n v="5"/>
    <s v="Facebook"/>
    <n v="0"/>
    <s v="8.3"/>
    <s v="OK"/>
    <x v="1"/>
    <x v="2"/>
    <x v="6"/>
    <n v="6"/>
    <b v="1"/>
  </r>
  <r>
    <n v="150"/>
    <n v="21"/>
    <s v="Female"/>
    <s v="Graduate"/>
    <s v="Pakistan"/>
    <n v="4.4000000000000004"/>
    <s v="Instagram"/>
    <s v="Yes"/>
    <n v="7.2"/>
    <n v="5"/>
    <s v="In Relationship"/>
    <n v="4"/>
    <n v="8"/>
    <s v="Instagram"/>
    <n v="1"/>
    <s v="7.2"/>
    <s v="OK"/>
    <x v="0"/>
    <x v="0"/>
    <x v="0"/>
    <n v="6"/>
    <b v="1"/>
  </r>
  <r>
    <n v="151"/>
    <n v="19"/>
    <s v="Male"/>
    <s v="Undergraduate"/>
    <s v="Sri Lanka"/>
    <n v="4.9000000000000004"/>
    <s v="TikTok"/>
    <s v="Yes"/>
    <n v="4.9000000000000004"/>
    <n v="6"/>
    <s v="Single"/>
    <n v="3"/>
    <n v="7"/>
    <s v="Tiktok"/>
    <n v="2"/>
    <s v="4.9"/>
    <s v="LESS SLEEP"/>
    <x v="0"/>
    <x v="0"/>
    <x v="4"/>
    <n v="5.9"/>
    <b v="1"/>
  </r>
  <r>
    <n v="152"/>
    <n v="20"/>
    <s v="Female"/>
    <s v="Undergraduate"/>
    <s v="Maldives"/>
    <n v="3.6"/>
    <s v="Instagram"/>
    <s v="No"/>
    <n v="8.4"/>
    <n v="8"/>
    <s v="In Relationship"/>
    <n v="2"/>
    <n v="5"/>
    <s v="Instagram"/>
    <n v="1"/>
    <s v="8.4"/>
    <s v="OK"/>
    <x v="1"/>
    <x v="2"/>
    <x v="6"/>
    <n v="5.9"/>
    <b v="1"/>
  </r>
  <r>
    <n v="153"/>
    <n v="22"/>
    <s v="Male"/>
    <s v="Graduate"/>
    <s v="Bangladesh"/>
    <n v="4.3"/>
    <s v="Facebook"/>
    <s v="Yes"/>
    <n v="7.3"/>
    <n v="5"/>
    <s v="Single"/>
    <n v="4"/>
    <n v="8"/>
    <s v="Facebook"/>
    <n v="0"/>
    <s v="7.3"/>
    <s v="OK"/>
    <x v="0"/>
    <x v="0"/>
    <x v="0"/>
    <n v="5.9"/>
    <b v="1"/>
  </r>
  <r>
    <n v="154"/>
    <n v="21"/>
    <s v="Female"/>
    <s v="Graduate"/>
    <s v="India"/>
    <n v="4.8"/>
    <s v="Instagram"/>
    <s v="Yes"/>
    <n v="4.8"/>
    <n v="6"/>
    <s v="In Relationship"/>
    <n v="3"/>
    <n v="7"/>
    <s v="Instagram"/>
    <n v="1"/>
    <s v="4.8"/>
    <s v="LESS SLEEP"/>
    <x v="0"/>
    <x v="0"/>
    <x v="4"/>
    <n v="5.9"/>
    <b v="1"/>
  </r>
  <r>
    <n v="155"/>
    <n v="19"/>
    <s v="Male"/>
    <s v="Undergraduate"/>
    <s v="Nepal"/>
    <n v="3.5"/>
    <s v="TikTok"/>
    <s v="No"/>
    <n v="8.5"/>
    <n v="7"/>
    <s v="Single"/>
    <n v="2"/>
    <n v="5"/>
    <s v="Tiktok"/>
    <n v="2"/>
    <s v="8.5"/>
    <s v="OK"/>
    <x v="1"/>
    <x v="2"/>
    <x v="6"/>
    <n v="5.9"/>
    <b v="1"/>
  </r>
  <r>
    <n v="156"/>
    <n v="20"/>
    <s v="Female"/>
    <s v="Undergraduate"/>
    <s v="Pakistan"/>
    <n v="4.2"/>
    <s v="Instagram"/>
    <s v="Yes"/>
    <n v="7.4"/>
    <n v="5"/>
    <s v="In Relationship"/>
    <n v="4"/>
    <n v="8"/>
    <s v="Instagram"/>
    <n v="1"/>
    <s v="7.4"/>
    <s v="OK"/>
    <x v="0"/>
    <x v="0"/>
    <x v="0"/>
    <n v="5.9"/>
    <b v="1"/>
  </r>
  <r>
    <n v="157"/>
    <n v="22"/>
    <s v="Male"/>
    <s v="Graduate"/>
    <s v="Sri Lanka"/>
    <n v="4.7"/>
    <s v="Facebook"/>
    <s v="Yes"/>
    <n v="4.7"/>
    <n v="6"/>
    <s v="Single"/>
    <n v="3"/>
    <n v="7"/>
    <s v="Facebook"/>
    <n v="0"/>
    <s v="4.7"/>
    <s v="LESS SLEEP"/>
    <x v="0"/>
    <x v="0"/>
    <x v="4"/>
    <n v="5.9"/>
    <b v="1"/>
  </r>
  <r>
    <n v="158"/>
    <n v="21"/>
    <s v="Female"/>
    <s v="Graduate"/>
    <s v="Maldives"/>
    <n v="3.4"/>
    <s v="Instagram"/>
    <s v="No"/>
    <n v="8.6"/>
    <n v="8"/>
    <s v="In Relationship"/>
    <n v="2"/>
    <n v="5"/>
    <s v="Instagram"/>
    <n v="1"/>
    <s v="8.6"/>
    <s v="OK"/>
    <x v="1"/>
    <x v="2"/>
    <x v="6"/>
    <n v="5.9"/>
    <b v="1"/>
  </r>
  <r>
    <n v="159"/>
    <n v="19"/>
    <s v="Male"/>
    <s v="Undergraduate"/>
    <s v="Bangladesh"/>
    <n v="4.0999999999999996"/>
    <s v="TikTok"/>
    <s v="Yes"/>
    <n v="7.5"/>
    <n v="5"/>
    <s v="Single"/>
    <n v="4"/>
    <n v="8"/>
    <s v="Tiktok"/>
    <n v="2"/>
    <s v="7.5"/>
    <s v="OK"/>
    <x v="0"/>
    <x v="0"/>
    <x v="0"/>
    <n v="5.9"/>
    <b v="1"/>
  </r>
  <r>
    <n v="160"/>
    <n v="20"/>
    <s v="Female"/>
    <s v="Undergraduate"/>
    <s v="India"/>
    <n v="4.5999999999999996"/>
    <s v="Instagram"/>
    <s v="Yes"/>
    <n v="4.5999999999999996"/>
    <n v="6"/>
    <s v="In Relationship"/>
    <n v="3"/>
    <n v="7"/>
    <s v="Instagram"/>
    <n v="1"/>
    <s v="4.6"/>
    <s v="LESS SLEEP"/>
    <x v="0"/>
    <x v="0"/>
    <x v="4"/>
    <n v="5.9"/>
    <b v="1"/>
  </r>
  <r>
    <n v="161"/>
    <n v="19"/>
    <s v="Female"/>
    <s v="Undergraduate"/>
    <s v="Bangladesh"/>
    <n v="5.3"/>
    <s v="Instagram"/>
    <s v="Yes"/>
    <n v="6.1"/>
    <n v="5"/>
    <s v="Single"/>
    <n v="3"/>
    <n v="7"/>
    <s v="Instagram"/>
    <n v="1"/>
    <s v="6.1"/>
    <s v="OK"/>
    <x v="0"/>
    <x v="0"/>
    <x v="4"/>
    <n v="5.9"/>
    <b v="1"/>
  </r>
  <r>
    <n v="162"/>
    <n v="21"/>
    <s v="Male"/>
    <s v="Graduate"/>
    <s v="India"/>
    <n v="4.8"/>
    <s v="Facebook"/>
    <s v="No"/>
    <n v="7.2"/>
    <n v="7"/>
    <s v="In Relationship"/>
    <n v="2"/>
    <n v="6"/>
    <s v="Facebook"/>
    <n v="0"/>
    <s v="7.2"/>
    <s v="OK"/>
    <x v="1"/>
    <x v="2"/>
    <x v="7"/>
    <n v="5.9"/>
    <b v="1"/>
  </r>
  <r>
    <n v="163"/>
    <n v="20"/>
    <s v="Female"/>
    <s v="Undergraduate"/>
    <s v="Nepal"/>
    <n v="5.5"/>
    <s v="TikTok"/>
    <s v="Yes"/>
    <n v="5.9"/>
    <n v="6"/>
    <s v="Single"/>
    <n v="4"/>
    <n v="8"/>
    <s v="Tiktok"/>
    <n v="2"/>
    <s v="5.9"/>
    <s v="OK"/>
    <x v="0"/>
    <x v="0"/>
    <x v="0"/>
    <n v="5.9"/>
    <b v="1"/>
  </r>
  <r>
    <n v="164"/>
    <n v="22"/>
    <s v="Male"/>
    <s v="Graduate"/>
    <s v="Pakistan"/>
    <n v="4.7"/>
    <s v="Instagram"/>
    <s v="Yes"/>
    <n v="6.3"/>
    <n v="5"/>
    <s v="In Relationship"/>
    <n v="3"/>
    <n v="7"/>
    <s v="Instagram"/>
    <n v="1"/>
    <s v="6.3"/>
    <s v="OK"/>
    <x v="0"/>
    <x v="0"/>
    <x v="4"/>
    <n v="5.8"/>
    <b v="1"/>
  </r>
  <r>
    <n v="165"/>
    <n v="19"/>
    <s v="Female"/>
    <s v="Undergraduate"/>
    <s v="Sri Lanka"/>
    <n v="5.0999999999999996"/>
    <s v="Facebook"/>
    <s v="No"/>
    <n v="7"/>
    <n v="7"/>
    <s v="Single"/>
    <n v="2"/>
    <n v="5"/>
    <s v="Facebook"/>
    <n v="0"/>
    <s v="7"/>
    <s v="OK"/>
    <x v="1"/>
    <x v="2"/>
    <x v="6"/>
    <n v="5.8"/>
    <b v="1"/>
  </r>
  <r>
    <n v="166"/>
    <n v="21"/>
    <s v="Male"/>
    <s v="Graduate"/>
    <s v="Maldives"/>
    <n v="5.4"/>
    <s v="TikTok"/>
    <s v="Yes"/>
    <n v="6"/>
    <n v="6"/>
    <s v="In Relationship"/>
    <n v="4"/>
    <n v="8"/>
    <s v="Tiktok"/>
    <n v="2"/>
    <s v="6"/>
    <s v="OK"/>
    <x v="0"/>
    <x v="0"/>
    <x v="0"/>
    <n v="5.8"/>
    <b v="1"/>
  </r>
  <r>
    <n v="167"/>
    <n v="20"/>
    <s v="Female"/>
    <s v="Undergraduate"/>
    <s v="Bangladesh"/>
    <n v="4.9000000000000004"/>
    <s v="Instagram"/>
    <s v="Yes"/>
    <n v="6.4"/>
    <n v="5"/>
    <s v="Single"/>
    <n v="3"/>
    <n v="7"/>
    <s v="Instagram"/>
    <n v="1"/>
    <s v="6.4"/>
    <s v="OK"/>
    <x v="0"/>
    <x v="0"/>
    <x v="4"/>
    <n v="5.8"/>
    <b v="1"/>
  </r>
  <r>
    <n v="168"/>
    <n v="22"/>
    <s v="Male"/>
    <s v="Graduate"/>
    <s v="India"/>
    <n v="5.2"/>
    <s v="Facebook"/>
    <s v="No"/>
    <n v="7.1"/>
    <n v="7"/>
    <s v="In Relationship"/>
    <n v="2"/>
    <n v="6"/>
    <s v="Facebook"/>
    <n v="0"/>
    <s v="7.1"/>
    <s v="OK"/>
    <x v="1"/>
    <x v="2"/>
    <x v="7"/>
    <n v="5.8"/>
    <b v="1"/>
  </r>
  <r>
    <n v="169"/>
    <n v="19"/>
    <s v="Female"/>
    <s v="Undergraduate"/>
    <s v="Nepal"/>
    <n v="5.6"/>
    <s v="TikTok"/>
    <s v="Yes"/>
    <n v="5.8"/>
    <n v="6"/>
    <s v="Single"/>
    <n v="4"/>
    <n v="8"/>
    <s v="Tiktok"/>
    <n v="2"/>
    <s v="5.8"/>
    <s v="OK"/>
    <x v="0"/>
    <x v="0"/>
    <x v="0"/>
    <n v="5.8"/>
    <b v="1"/>
  </r>
  <r>
    <n v="170"/>
    <n v="21"/>
    <s v="Male"/>
    <s v="Graduate"/>
    <s v="Pakistan"/>
    <n v="4.5999999999999996"/>
    <s v="Instagram"/>
    <s v="Yes"/>
    <n v="6.5"/>
    <n v="5"/>
    <s v="In Relationship"/>
    <n v="3"/>
    <n v="7"/>
    <s v="Instagram"/>
    <n v="1"/>
    <s v="6.5"/>
    <s v="OK"/>
    <x v="0"/>
    <x v="0"/>
    <x v="4"/>
    <n v="5.8"/>
    <b v="1"/>
  </r>
  <r>
    <n v="171"/>
    <n v="20"/>
    <s v="Female"/>
    <s v="Undergraduate"/>
    <s v="Sri Lanka"/>
    <n v="5"/>
    <s v="Facebook"/>
    <s v="No"/>
    <n v="7.3"/>
    <n v="7"/>
    <s v="Single"/>
    <n v="2"/>
    <n v="5"/>
    <s v="Facebook"/>
    <n v="0"/>
    <s v="7.3"/>
    <s v="OK"/>
    <x v="1"/>
    <x v="2"/>
    <x v="6"/>
    <n v="5.8"/>
    <b v="1"/>
  </r>
  <r>
    <n v="172"/>
    <n v="22"/>
    <s v="Male"/>
    <s v="Graduate"/>
    <s v="Maldives"/>
    <n v="5.3"/>
    <s v="TikTok"/>
    <s v="Yes"/>
    <n v="5.7"/>
    <n v="6"/>
    <s v="In Relationship"/>
    <n v="4"/>
    <n v="8"/>
    <s v="Tiktok"/>
    <n v="2"/>
    <s v="5.7"/>
    <s v="OK"/>
    <x v="0"/>
    <x v="0"/>
    <x v="0"/>
    <n v="5.8"/>
    <b v="1"/>
  </r>
  <r>
    <n v="173"/>
    <n v="19"/>
    <s v="Female"/>
    <s v="Undergraduate"/>
    <s v="Bangladesh"/>
    <n v="4.8"/>
    <s v="Instagram"/>
    <s v="Yes"/>
    <n v="6.6"/>
    <n v="5"/>
    <s v="Single"/>
    <n v="3"/>
    <n v="7"/>
    <s v="Instagram"/>
    <n v="1"/>
    <s v="6.6"/>
    <s v="OK"/>
    <x v="0"/>
    <x v="0"/>
    <x v="4"/>
    <n v="5.8"/>
    <b v="1"/>
  </r>
  <r>
    <n v="174"/>
    <n v="21"/>
    <s v="Male"/>
    <s v="Graduate"/>
    <s v="India"/>
    <n v="5.0999999999999996"/>
    <s v="Facebook"/>
    <s v="No"/>
    <n v="7.4"/>
    <n v="7"/>
    <s v="In Relationship"/>
    <n v="2"/>
    <n v="6"/>
    <s v="Facebook"/>
    <n v="0"/>
    <s v="7.4"/>
    <s v="OK"/>
    <x v="1"/>
    <x v="2"/>
    <x v="7"/>
    <n v="5.8"/>
    <b v="1"/>
  </r>
  <r>
    <n v="175"/>
    <n v="20"/>
    <s v="Female"/>
    <s v="Undergraduate"/>
    <s v="Nepal"/>
    <n v="5.7"/>
    <s v="TikTok"/>
    <s v="Yes"/>
    <n v="5.6"/>
    <n v="6"/>
    <s v="Single"/>
    <n v="4"/>
    <n v="8"/>
    <s v="Tiktok"/>
    <n v="2"/>
    <s v="5.6"/>
    <s v="OK"/>
    <x v="0"/>
    <x v="0"/>
    <x v="0"/>
    <n v="5.8"/>
    <b v="1"/>
  </r>
  <r>
    <n v="176"/>
    <n v="22"/>
    <s v="Male"/>
    <s v="Graduate"/>
    <s v="Pakistan"/>
    <n v="4.5"/>
    <s v="Instagram"/>
    <s v="Yes"/>
    <n v="6.7"/>
    <n v="5"/>
    <s v="In Relationship"/>
    <n v="3"/>
    <n v="7"/>
    <s v="Instagram"/>
    <n v="1"/>
    <s v="6.7"/>
    <s v="OK"/>
    <x v="0"/>
    <x v="0"/>
    <x v="4"/>
    <n v="5.8"/>
    <b v="1"/>
  </r>
  <r>
    <n v="177"/>
    <n v="19"/>
    <s v="Female"/>
    <s v="Undergraduate"/>
    <s v="Sri Lanka"/>
    <n v="4.9000000000000004"/>
    <s v="Facebook"/>
    <s v="No"/>
    <n v="7.5"/>
    <n v="7"/>
    <s v="Single"/>
    <n v="2"/>
    <n v="5"/>
    <s v="Facebook"/>
    <n v="0"/>
    <s v="7.5"/>
    <s v="OK"/>
    <x v="1"/>
    <x v="2"/>
    <x v="6"/>
    <n v="5.8"/>
    <b v="1"/>
  </r>
  <r>
    <n v="178"/>
    <n v="21"/>
    <s v="Male"/>
    <s v="Graduate"/>
    <s v="Maldives"/>
    <n v="5.2"/>
    <s v="TikTok"/>
    <s v="Yes"/>
    <n v="5.5"/>
    <n v="6"/>
    <s v="In Relationship"/>
    <n v="4"/>
    <n v="8"/>
    <s v="Tiktok"/>
    <n v="2"/>
    <s v="5.5"/>
    <s v="OK"/>
    <x v="0"/>
    <x v="0"/>
    <x v="0"/>
    <n v="5.8"/>
    <b v="1"/>
  </r>
  <r>
    <n v="179"/>
    <n v="20"/>
    <s v="Female"/>
    <s v="Undergraduate"/>
    <s v="Bangladesh"/>
    <n v="4.7"/>
    <s v="Instagram"/>
    <s v="Yes"/>
    <n v="6.8"/>
    <n v="5"/>
    <s v="Single"/>
    <n v="3"/>
    <n v="7"/>
    <s v="Instagram"/>
    <n v="1"/>
    <s v="6.8"/>
    <s v="OK"/>
    <x v="0"/>
    <x v="0"/>
    <x v="4"/>
    <n v="5.8"/>
    <b v="1"/>
  </r>
  <r>
    <n v="180"/>
    <n v="22"/>
    <s v="Male"/>
    <s v="Graduate"/>
    <s v="India"/>
    <n v="5"/>
    <s v="Facebook"/>
    <s v="No"/>
    <n v="7.6"/>
    <n v="7"/>
    <s v="In Relationship"/>
    <n v="2"/>
    <n v="6"/>
    <s v="Facebook"/>
    <n v="0"/>
    <s v="7.6"/>
    <s v="OK"/>
    <x v="1"/>
    <x v="2"/>
    <x v="7"/>
    <n v="5.8"/>
    <b v="1"/>
  </r>
  <r>
    <n v="181"/>
    <n v="19"/>
    <s v="Female"/>
    <s v="Undergraduate"/>
    <s v="Nepal"/>
    <n v="5.8"/>
    <s v="TikTok"/>
    <s v="Yes"/>
    <n v="5.4"/>
    <n v="6"/>
    <s v="Single"/>
    <n v="4"/>
    <n v="8"/>
    <s v="Tiktok"/>
    <n v="2"/>
    <s v="5.4"/>
    <s v="OK"/>
    <x v="0"/>
    <x v="0"/>
    <x v="0"/>
    <n v="5.8"/>
    <b v="1"/>
  </r>
  <r>
    <n v="182"/>
    <n v="21"/>
    <s v="Male"/>
    <s v="Graduate"/>
    <s v="Pakistan"/>
    <n v="4.4000000000000004"/>
    <s v="Instagram"/>
    <s v="Yes"/>
    <n v="6.9"/>
    <n v="5"/>
    <s v="In Relationship"/>
    <n v="3"/>
    <n v="7"/>
    <s v="Instagram"/>
    <n v="1"/>
    <s v="6.9"/>
    <s v="OK"/>
    <x v="0"/>
    <x v="0"/>
    <x v="4"/>
    <n v="5.7"/>
    <b v="1"/>
  </r>
  <r>
    <n v="183"/>
    <n v="20"/>
    <s v="Female"/>
    <s v="Undergraduate"/>
    <s v="Sri Lanka"/>
    <n v="4.8"/>
    <s v="Facebook"/>
    <s v="No"/>
    <n v="7.7"/>
    <n v="7"/>
    <s v="Single"/>
    <n v="2"/>
    <n v="5"/>
    <s v="Facebook"/>
    <n v="0"/>
    <s v="7.7"/>
    <s v="OK"/>
    <x v="1"/>
    <x v="2"/>
    <x v="6"/>
    <n v="5.7"/>
    <b v="1"/>
  </r>
  <r>
    <n v="184"/>
    <n v="22"/>
    <s v="Male"/>
    <s v="Graduate"/>
    <s v="Maldives"/>
    <n v="5.0999999999999996"/>
    <s v="TikTok"/>
    <s v="Yes"/>
    <n v="5.3"/>
    <n v="6"/>
    <s v="In Relationship"/>
    <n v="4"/>
    <n v="8"/>
    <s v="Tiktok"/>
    <n v="2"/>
    <s v="5.3"/>
    <s v="OK"/>
    <x v="0"/>
    <x v="0"/>
    <x v="0"/>
    <n v="5.7"/>
    <b v="1"/>
  </r>
  <r>
    <n v="185"/>
    <n v="19"/>
    <s v="Female"/>
    <s v="Undergraduate"/>
    <s v="Bangladesh"/>
    <n v="4.5999999999999996"/>
    <s v="Instagram"/>
    <s v="Yes"/>
    <n v="7"/>
    <n v="5"/>
    <s v="Single"/>
    <n v="3"/>
    <n v="7"/>
    <s v="Instagram"/>
    <n v="1"/>
    <s v="7"/>
    <s v="OK"/>
    <x v="0"/>
    <x v="0"/>
    <x v="4"/>
    <n v="5.7"/>
    <b v="1"/>
  </r>
  <r>
    <n v="186"/>
    <n v="21"/>
    <s v="Male"/>
    <s v="Graduate"/>
    <s v="India"/>
    <n v="4.9000000000000004"/>
    <s v="Facebook"/>
    <s v="No"/>
    <n v="7.8"/>
    <n v="7"/>
    <s v="In Relationship"/>
    <n v="2"/>
    <n v="6"/>
    <s v="Facebook"/>
    <n v="0"/>
    <s v="7.8"/>
    <s v="OK"/>
    <x v="1"/>
    <x v="2"/>
    <x v="7"/>
    <n v="5.7"/>
    <b v="1"/>
  </r>
  <r>
    <n v="187"/>
    <n v="20"/>
    <s v="Female"/>
    <s v="Undergraduate"/>
    <s v="Nepal"/>
    <n v="5.9"/>
    <s v="TikTok"/>
    <s v="Yes"/>
    <n v="5.2"/>
    <n v="6"/>
    <s v="Single"/>
    <n v="4"/>
    <n v="8"/>
    <s v="Tiktok"/>
    <n v="2"/>
    <s v="5.2"/>
    <s v="OK"/>
    <x v="0"/>
    <x v="0"/>
    <x v="0"/>
    <n v="5.7"/>
    <b v="1"/>
  </r>
  <r>
    <n v="188"/>
    <n v="22"/>
    <s v="Male"/>
    <s v="Graduate"/>
    <s v="Pakistan"/>
    <n v="4.3"/>
    <s v="Instagram"/>
    <s v="Yes"/>
    <n v="7.1"/>
    <n v="5"/>
    <s v="In Relationship"/>
    <n v="3"/>
    <n v="7"/>
    <s v="Instagram"/>
    <n v="1"/>
    <s v="7.1"/>
    <s v="OK"/>
    <x v="0"/>
    <x v="0"/>
    <x v="4"/>
    <n v="5.7"/>
    <b v="1"/>
  </r>
  <r>
    <n v="189"/>
    <n v="19"/>
    <s v="Female"/>
    <s v="Undergraduate"/>
    <s v="Sri Lanka"/>
    <n v="4.7"/>
    <s v="Facebook"/>
    <s v="No"/>
    <n v="7.9"/>
    <n v="7"/>
    <s v="Single"/>
    <n v="2"/>
    <n v="5"/>
    <s v="Facebook"/>
    <n v="0"/>
    <s v="7.9"/>
    <s v="OK"/>
    <x v="1"/>
    <x v="2"/>
    <x v="6"/>
    <n v="5.7"/>
    <b v="1"/>
  </r>
  <r>
    <n v="190"/>
    <n v="21"/>
    <s v="Male"/>
    <s v="Graduate"/>
    <s v="Maldives"/>
    <n v="5"/>
    <s v="TikTok"/>
    <s v="Yes"/>
    <n v="5.0999999999999996"/>
    <n v="6"/>
    <s v="In Relationship"/>
    <n v="4"/>
    <n v="8"/>
    <s v="Tiktok"/>
    <n v="2"/>
    <s v="5.1"/>
    <s v="OK"/>
    <x v="0"/>
    <x v="0"/>
    <x v="0"/>
    <n v="5.7"/>
    <b v="1"/>
  </r>
  <r>
    <n v="191"/>
    <n v="20"/>
    <s v="Female"/>
    <s v="Undergraduate"/>
    <s v="Bangladesh"/>
    <n v="4.5"/>
    <s v="Instagram"/>
    <s v="Yes"/>
    <n v="7.2"/>
    <n v="5"/>
    <s v="Single"/>
    <n v="3"/>
    <n v="7"/>
    <s v="Instagram"/>
    <n v="1"/>
    <s v="7.2"/>
    <s v="OK"/>
    <x v="0"/>
    <x v="0"/>
    <x v="4"/>
    <n v="5.7"/>
    <b v="1"/>
  </r>
  <r>
    <n v="192"/>
    <n v="22"/>
    <s v="Male"/>
    <s v="Graduate"/>
    <s v="India"/>
    <n v="4.8"/>
    <s v="Facebook"/>
    <s v="No"/>
    <n v="8"/>
    <n v="7"/>
    <s v="In Relationship"/>
    <n v="2"/>
    <n v="6"/>
    <s v="Facebook"/>
    <n v="0"/>
    <s v="8"/>
    <s v="OK"/>
    <x v="1"/>
    <x v="2"/>
    <x v="7"/>
    <n v="5.7"/>
    <b v="1"/>
  </r>
  <r>
    <n v="193"/>
    <n v="19"/>
    <s v="Female"/>
    <s v="Undergraduate"/>
    <s v="Nepal"/>
    <n v="6"/>
    <s v="TikTok"/>
    <s v="Yes"/>
    <n v="5"/>
    <n v="6"/>
    <s v="Single"/>
    <n v="4"/>
    <n v="8"/>
    <s v="Tiktok"/>
    <n v="2"/>
    <s v="5"/>
    <s v="OK"/>
    <x v="0"/>
    <x v="0"/>
    <x v="0"/>
    <n v="5.7"/>
    <b v="1"/>
  </r>
  <r>
    <n v="194"/>
    <n v="21"/>
    <s v="Male"/>
    <s v="Graduate"/>
    <s v="Pakistan"/>
    <n v="4.2"/>
    <s v="Instagram"/>
    <s v="Yes"/>
    <n v="7.3"/>
    <n v="5"/>
    <s v="In Relationship"/>
    <n v="3"/>
    <n v="7"/>
    <s v="Instagram"/>
    <n v="1"/>
    <s v="7.3"/>
    <s v="OK"/>
    <x v="0"/>
    <x v="0"/>
    <x v="4"/>
    <n v="5.7"/>
    <b v="1"/>
  </r>
  <r>
    <n v="195"/>
    <n v="20"/>
    <s v="Female"/>
    <s v="Undergraduate"/>
    <s v="Sri Lanka"/>
    <n v="4.5999999999999996"/>
    <s v="Facebook"/>
    <s v="No"/>
    <n v="8.1"/>
    <n v="7"/>
    <s v="Single"/>
    <n v="2"/>
    <n v="5"/>
    <s v="Facebook"/>
    <n v="0"/>
    <s v="8.1"/>
    <s v="OK"/>
    <x v="1"/>
    <x v="2"/>
    <x v="6"/>
    <n v="5.7"/>
    <b v="1"/>
  </r>
  <r>
    <n v="196"/>
    <n v="22"/>
    <s v="Male"/>
    <s v="Graduate"/>
    <s v="Maldives"/>
    <n v="4.9000000000000004"/>
    <s v="TikTok"/>
    <s v="Yes"/>
    <n v="4.9000000000000004"/>
    <n v="6"/>
    <s v="In Relationship"/>
    <n v="4"/>
    <n v="8"/>
    <s v="Tiktok"/>
    <n v="2"/>
    <s v="4.9"/>
    <s v="LESS SLEEP"/>
    <x v="0"/>
    <x v="0"/>
    <x v="0"/>
    <n v="5.7"/>
    <b v="1"/>
  </r>
  <r>
    <n v="197"/>
    <n v="19"/>
    <s v="Female"/>
    <s v="Undergraduate"/>
    <s v="Bangladesh"/>
    <n v="4.4000000000000004"/>
    <s v="Instagram"/>
    <s v="Yes"/>
    <n v="7.4"/>
    <n v="5"/>
    <s v="Single"/>
    <n v="3"/>
    <n v="7"/>
    <s v="Instagram"/>
    <n v="1"/>
    <s v="7.4"/>
    <s v="OK"/>
    <x v="0"/>
    <x v="0"/>
    <x v="4"/>
    <n v="5.7"/>
    <b v="1"/>
  </r>
  <r>
    <n v="198"/>
    <n v="21"/>
    <s v="Male"/>
    <s v="Graduate"/>
    <s v="India"/>
    <n v="4.7"/>
    <s v="Facebook"/>
    <s v="No"/>
    <n v="8.1999999999999993"/>
    <n v="7"/>
    <s v="In Relationship"/>
    <n v="2"/>
    <n v="6"/>
    <s v="Facebook"/>
    <n v="0"/>
    <s v="8.2"/>
    <s v="OK"/>
    <x v="1"/>
    <x v="2"/>
    <x v="7"/>
    <n v="5.7"/>
    <b v="1"/>
  </r>
  <r>
    <n v="199"/>
    <n v="20"/>
    <s v="Female"/>
    <s v="Undergraduate"/>
    <s v="Nepal"/>
    <n v="6.1"/>
    <s v="TikTok"/>
    <s v="Yes"/>
    <n v="4.8"/>
    <n v="6"/>
    <s v="Single"/>
    <n v="4"/>
    <n v="8"/>
    <s v="Tiktok"/>
    <n v="2"/>
    <s v="4.8"/>
    <s v="LESS SLEEP"/>
    <x v="0"/>
    <x v="0"/>
    <x v="0"/>
    <n v="5.7"/>
    <b v="1"/>
  </r>
  <r>
    <n v="200"/>
    <n v="22"/>
    <s v="Male"/>
    <s v="Graduate"/>
    <s v="Pakistan"/>
    <n v="4.0999999999999996"/>
    <s v="Instagram"/>
    <s v="Yes"/>
    <n v="7.5"/>
    <n v="5"/>
    <s v="In Relationship"/>
    <n v="3"/>
    <n v="7"/>
    <s v="Instagram"/>
    <n v="1"/>
    <s v="7.5"/>
    <s v="OK"/>
    <x v="0"/>
    <x v="0"/>
    <x v="4"/>
    <n v="5.7"/>
    <b v="1"/>
  </r>
  <r>
    <n v="201"/>
    <n v="19"/>
    <s v="Female"/>
    <s v="Undergraduate"/>
    <s v="Sri Lanka"/>
    <n v="4.5"/>
    <s v="Facebook"/>
    <s v="No"/>
    <n v="8.3000000000000007"/>
    <n v="7"/>
    <s v="Single"/>
    <n v="2"/>
    <n v="5"/>
    <s v="Facebook"/>
    <n v="0"/>
    <s v="8.3"/>
    <s v="OK"/>
    <x v="1"/>
    <x v="2"/>
    <x v="6"/>
    <n v="5.6"/>
    <b v="1"/>
  </r>
  <r>
    <n v="202"/>
    <n v="21"/>
    <s v="Male"/>
    <s v="Graduate"/>
    <s v="Maldives"/>
    <n v="4.8"/>
    <s v="TikTok"/>
    <s v="Yes"/>
    <n v="4.7"/>
    <n v="6"/>
    <s v="In Relationship"/>
    <n v="4"/>
    <n v="8"/>
    <s v="Tiktok"/>
    <n v="2"/>
    <s v="4.7"/>
    <s v="LESS SLEEP"/>
    <x v="0"/>
    <x v="0"/>
    <x v="0"/>
    <n v="5.6"/>
    <b v="1"/>
  </r>
  <r>
    <n v="203"/>
    <n v="20"/>
    <s v="Female"/>
    <s v="Undergraduate"/>
    <s v="Bangladesh"/>
    <n v="4.3"/>
    <s v="Instagram"/>
    <s v="Yes"/>
    <n v="7.6"/>
    <n v="5"/>
    <s v="Single"/>
    <n v="3"/>
    <n v="7"/>
    <s v="Instagram"/>
    <n v="1"/>
    <s v="7.6"/>
    <s v="OK"/>
    <x v="0"/>
    <x v="0"/>
    <x v="4"/>
    <n v="5.6"/>
    <b v="1"/>
  </r>
  <r>
    <n v="204"/>
    <n v="22"/>
    <s v="Male"/>
    <s v="Graduate"/>
    <s v="India"/>
    <n v="4.5999999999999996"/>
    <s v="Facebook"/>
    <s v="No"/>
    <n v="8.4"/>
    <n v="7"/>
    <s v="In Relationship"/>
    <n v="2"/>
    <n v="6"/>
    <s v="Facebook"/>
    <n v="0"/>
    <s v="8.4"/>
    <s v="OK"/>
    <x v="1"/>
    <x v="2"/>
    <x v="7"/>
    <n v="5.6"/>
    <b v="1"/>
  </r>
  <r>
    <n v="205"/>
    <n v="19"/>
    <s v="Female"/>
    <s v="Undergraduate"/>
    <s v="Nepal"/>
    <n v="6.2"/>
    <s v="TikTok"/>
    <s v="Yes"/>
    <n v="4.5999999999999996"/>
    <n v="6"/>
    <s v="Single"/>
    <n v="4"/>
    <n v="8"/>
    <s v="Tiktok"/>
    <n v="2"/>
    <s v="4.6"/>
    <s v="LESS SLEEP"/>
    <x v="0"/>
    <x v="0"/>
    <x v="0"/>
    <n v="5.6"/>
    <b v="1"/>
  </r>
  <r>
    <n v="206"/>
    <n v="21"/>
    <s v="Male"/>
    <s v="Graduate"/>
    <s v="Pakistan"/>
    <n v="4"/>
    <s v="Instagram"/>
    <s v="Yes"/>
    <n v="7.7"/>
    <n v="5"/>
    <s v="In Relationship"/>
    <n v="3"/>
    <n v="7"/>
    <s v="Instagram"/>
    <n v="1"/>
    <s v="7.7"/>
    <s v="OK"/>
    <x v="0"/>
    <x v="0"/>
    <x v="4"/>
    <n v="5.6"/>
    <b v="1"/>
  </r>
  <r>
    <n v="207"/>
    <n v="20"/>
    <s v="Female"/>
    <s v="Undergraduate"/>
    <s v="Sri Lanka"/>
    <n v="4.4000000000000004"/>
    <s v="Facebook"/>
    <s v="No"/>
    <n v="8.5"/>
    <n v="7"/>
    <s v="Single"/>
    <n v="2"/>
    <n v="5"/>
    <s v="Facebook"/>
    <n v="0"/>
    <s v="8.5"/>
    <s v="OK"/>
    <x v="1"/>
    <x v="2"/>
    <x v="6"/>
    <n v="5.6"/>
    <b v="1"/>
  </r>
  <r>
    <n v="208"/>
    <n v="22"/>
    <s v="Male"/>
    <s v="Graduate"/>
    <s v="Maldives"/>
    <n v="4.7"/>
    <s v="TikTok"/>
    <s v="Yes"/>
    <n v="4.5"/>
    <n v="6"/>
    <s v="In Relationship"/>
    <n v="4"/>
    <n v="8"/>
    <s v="Tiktok"/>
    <n v="2"/>
    <s v="4.5"/>
    <s v="LESS SLEEP"/>
    <x v="0"/>
    <x v="0"/>
    <x v="0"/>
    <n v="5.6"/>
    <b v="1"/>
  </r>
  <r>
    <n v="209"/>
    <n v="19"/>
    <s v="Female"/>
    <s v="Undergraduate"/>
    <s v="Bangladesh"/>
    <n v="4.2"/>
    <s v="Instagram"/>
    <s v="Yes"/>
    <n v="7.8"/>
    <n v="5"/>
    <s v="Single"/>
    <n v="3"/>
    <n v="7"/>
    <s v="Instagram"/>
    <n v="1"/>
    <s v="7.8"/>
    <s v="OK"/>
    <x v="0"/>
    <x v="0"/>
    <x v="4"/>
    <n v="5.6"/>
    <b v="1"/>
  </r>
  <r>
    <n v="210"/>
    <n v="21"/>
    <s v="Male"/>
    <s v="Graduate"/>
    <s v="India"/>
    <n v="4.5"/>
    <s v="Facebook"/>
    <s v="No"/>
    <n v="8.6"/>
    <n v="7"/>
    <s v="In Relationship"/>
    <n v="2"/>
    <n v="6"/>
    <s v="Facebook"/>
    <n v="0"/>
    <s v="8.6"/>
    <s v="OK"/>
    <x v="1"/>
    <x v="2"/>
    <x v="7"/>
    <n v="5.6"/>
    <b v="1"/>
  </r>
  <r>
    <n v="211"/>
    <n v="20"/>
    <s v="Female"/>
    <s v="Undergraduate"/>
    <s v="Nepal"/>
    <n v="6.3"/>
    <s v="TikTok"/>
    <s v="Yes"/>
    <n v="4.4000000000000004"/>
    <n v="6"/>
    <s v="Single"/>
    <n v="4"/>
    <n v="8"/>
    <s v="Tiktok"/>
    <n v="2"/>
    <s v="4.4"/>
    <s v="LESS SLEEP"/>
    <x v="0"/>
    <x v="0"/>
    <x v="0"/>
    <n v="5.6"/>
    <b v="1"/>
  </r>
  <r>
    <n v="212"/>
    <n v="22"/>
    <s v="Male"/>
    <s v="Graduate"/>
    <s v="Pakistan"/>
    <n v="3.9"/>
    <s v="Instagram"/>
    <s v="Yes"/>
    <n v="7.9"/>
    <n v="5"/>
    <s v="In Relationship"/>
    <n v="3"/>
    <n v="7"/>
    <s v="Instagram"/>
    <n v="1"/>
    <s v="7.9"/>
    <s v="OK"/>
    <x v="0"/>
    <x v="0"/>
    <x v="4"/>
    <n v="5.6"/>
    <b v="1"/>
  </r>
  <r>
    <n v="213"/>
    <n v="19"/>
    <s v="Female"/>
    <s v="Undergraduate"/>
    <s v="Sri Lanka"/>
    <n v="4.3"/>
    <s v="Facebook"/>
    <s v="No"/>
    <n v="8.6999999999999993"/>
    <n v="7"/>
    <s v="Single"/>
    <n v="2"/>
    <n v="5"/>
    <s v="Facebook"/>
    <n v="0"/>
    <s v="8.7"/>
    <s v="OK"/>
    <x v="1"/>
    <x v="2"/>
    <x v="6"/>
    <n v="5.6"/>
    <b v="1"/>
  </r>
  <r>
    <n v="214"/>
    <n v="21"/>
    <s v="Male"/>
    <s v="Graduate"/>
    <s v="Maldives"/>
    <n v="4.5999999999999996"/>
    <s v="TikTok"/>
    <s v="Yes"/>
    <n v="4.3"/>
    <n v="6"/>
    <s v="In Relationship"/>
    <n v="4"/>
    <n v="8"/>
    <s v="Tiktok"/>
    <n v="2"/>
    <s v="4.3"/>
    <s v="LESS SLEEP"/>
    <x v="0"/>
    <x v="0"/>
    <x v="0"/>
    <n v="5.6"/>
    <b v="1"/>
  </r>
  <r>
    <n v="215"/>
    <n v="20"/>
    <s v="Female"/>
    <s v="Undergraduate"/>
    <s v="Bangladesh"/>
    <n v="4.0999999999999996"/>
    <s v="Instagram"/>
    <s v="Yes"/>
    <n v="8"/>
    <n v="5"/>
    <s v="Single"/>
    <n v="3"/>
    <n v="7"/>
    <s v="Instagram"/>
    <n v="1"/>
    <s v="8"/>
    <s v="OK"/>
    <x v="0"/>
    <x v="0"/>
    <x v="4"/>
    <n v="5.6"/>
    <b v="1"/>
  </r>
  <r>
    <n v="216"/>
    <n v="22"/>
    <s v="Male"/>
    <s v="Graduate"/>
    <s v="India"/>
    <n v="4.4000000000000004"/>
    <s v="Facebook"/>
    <s v="No"/>
    <n v="8.8000000000000007"/>
    <n v="7"/>
    <s v="In Relationship"/>
    <n v="2"/>
    <n v="6"/>
    <s v="Facebook"/>
    <n v="0"/>
    <s v="8.8"/>
    <s v="OK"/>
    <x v="1"/>
    <x v="2"/>
    <x v="7"/>
    <n v="5.6"/>
    <b v="1"/>
  </r>
  <r>
    <n v="217"/>
    <n v="19"/>
    <s v="Female"/>
    <s v="Undergraduate"/>
    <s v="Nepal"/>
    <n v="6.4"/>
    <s v="TikTok"/>
    <s v="Yes"/>
    <n v="4.2"/>
    <n v="6"/>
    <s v="Single"/>
    <n v="4"/>
    <n v="8"/>
    <s v="Tiktok"/>
    <n v="2"/>
    <s v="4.2"/>
    <s v="LESS SLEEP"/>
    <x v="0"/>
    <x v="0"/>
    <x v="0"/>
    <n v="5.6"/>
    <b v="1"/>
  </r>
  <r>
    <n v="218"/>
    <n v="21"/>
    <s v="Male"/>
    <s v="Graduate"/>
    <s v="Pakistan"/>
    <n v="3.8"/>
    <s v="Instagram"/>
    <s v="Yes"/>
    <n v="8.1"/>
    <n v="5"/>
    <s v="In Relationship"/>
    <n v="3"/>
    <n v="7"/>
    <s v="Instagram"/>
    <n v="1"/>
    <s v="8.1"/>
    <s v="OK"/>
    <x v="0"/>
    <x v="0"/>
    <x v="4"/>
    <n v="5.6"/>
    <b v="1"/>
  </r>
  <r>
    <n v="219"/>
    <n v="20"/>
    <s v="Female"/>
    <s v="Undergraduate"/>
    <s v="Sri Lanka"/>
    <n v="4.2"/>
    <s v="Facebook"/>
    <s v="No"/>
    <n v="8.9"/>
    <n v="7"/>
    <s v="Single"/>
    <n v="2"/>
    <n v="5"/>
    <s v="Facebook"/>
    <n v="0"/>
    <s v="8.9"/>
    <s v="OK"/>
    <x v="1"/>
    <x v="2"/>
    <x v="6"/>
    <n v="5.6"/>
    <b v="1"/>
  </r>
  <r>
    <n v="220"/>
    <n v="22"/>
    <s v="Male"/>
    <s v="Graduate"/>
    <s v="Maldives"/>
    <n v="4.5"/>
    <s v="TikTok"/>
    <s v="Yes"/>
    <n v="4.0999999999999996"/>
    <n v="6"/>
    <s v="In Relationship"/>
    <n v="4"/>
    <n v="8"/>
    <s v="Tiktok"/>
    <n v="2"/>
    <s v="4.1"/>
    <s v="LESS SLEEP"/>
    <x v="0"/>
    <x v="0"/>
    <x v="0"/>
    <n v="5.5"/>
    <b v="1"/>
  </r>
  <r>
    <n v="221"/>
    <n v="19"/>
    <s v="Female"/>
    <s v="Undergraduate"/>
    <s v="USA"/>
    <n v="6.5"/>
    <s v="Instagram"/>
    <s v="Yes"/>
    <n v="6"/>
    <n v="5"/>
    <s v="Single"/>
    <n v="4"/>
    <n v="9"/>
    <s v="Instagram"/>
    <n v="1"/>
    <s v="6"/>
    <s v="OK"/>
    <x v="0"/>
    <x v="0"/>
    <x v="2"/>
    <n v="5.5"/>
    <b v="1"/>
  </r>
  <r>
    <n v="222"/>
    <n v="21"/>
    <s v="Male"/>
    <s v="Graduate"/>
    <s v="UK"/>
    <n v="5.8"/>
    <s v="TikTok"/>
    <s v="Yes"/>
    <n v="6.5"/>
    <n v="6"/>
    <s v="In Relationship"/>
    <n v="3"/>
    <n v="7"/>
    <s v="Tiktok"/>
    <n v="2"/>
    <s v="6.5"/>
    <s v="OK"/>
    <x v="0"/>
    <x v="0"/>
    <x v="4"/>
    <n v="5.5"/>
    <b v="1"/>
  </r>
  <r>
    <n v="223"/>
    <n v="20"/>
    <s v="Female"/>
    <s v="Undergraduate"/>
    <s v="Australia"/>
    <n v="4.5"/>
    <s v="Instagram"/>
    <s v="No"/>
    <n v="7.5"/>
    <n v="8"/>
    <s v="Single"/>
    <n v="2"/>
    <n v="5"/>
    <s v="Instagram"/>
    <n v="1"/>
    <s v="7.5"/>
    <s v="OK"/>
    <x v="1"/>
    <x v="2"/>
    <x v="6"/>
    <n v="5.5"/>
    <b v="1"/>
  </r>
  <r>
    <n v="224"/>
    <n v="22"/>
    <s v="Male"/>
    <s v="Graduate"/>
    <s v="Germany"/>
    <n v="4.2"/>
    <s v="Facebook"/>
    <s v="No"/>
    <n v="7.8"/>
    <n v="7"/>
    <s v="In Relationship"/>
    <n v="2"/>
    <n v="4"/>
    <s v="Facebook"/>
    <n v="0"/>
    <s v="7.8"/>
    <s v="OK"/>
    <x v="1"/>
    <x v="1"/>
    <x v="3"/>
    <n v="5.5"/>
    <b v="1"/>
  </r>
  <r>
    <n v="225"/>
    <n v="19"/>
    <s v="Female"/>
    <s v="Undergraduate"/>
    <s v="Japan"/>
    <n v="3.8"/>
    <s v="LINE"/>
    <s v="No"/>
    <n v="7.9"/>
    <n v="8"/>
    <s v="Single"/>
    <n v="1"/>
    <n v="3"/>
    <s v="Line"/>
    <n v="0"/>
    <s v="7.9"/>
    <s v="OK"/>
    <x v="1"/>
    <x v="1"/>
    <x v="1"/>
    <n v="5.5"/>
    <b v="1"/>
  </r>
  <r>
    <n v="226"/>
    <n v="21"/>
    <s v="Male"/>
    <s v="Graduate"/>
    <s v="Italy"/>
    <n v="5.5"/>
    <s v="Instagram"/>
    <s v="Yes"/>
    <n v="6.8"/>
    <n v="6"/>
    <s v="Single"/>
    <n v="3"/>
    <n v="7"/>
    <s v="Instagram"/>
    <n v="1"/>
    <s v="6.8"/>
    <s v="OK"/>
    <x v="0"/>
    <x v="0"/>
    <x v="4"/>
    <n v="5.5"/>
    <b v="1"/>
  </r>
  <r>
    <n v="227"/>
    <n v="20"/>
    <s v="Female"/>
    <s v="Undergraduate"/>
    <s v="South Korea"/>
    <n v="5.2"/>
    <s v="KakaoTalk"/>
    <s v="Yes"/>
    <n v="6.5"/>
    <n v="6"/>
    <s v="In Relationship"/>
    <n v="3"/>
    <n v="6"/>
    <s v="Kakaotalk"/>
    <n v="1"/>
    <s v="6.5"/>
    <s v="OK"/>
    <x v="1"/>
    <x v="2"/>
    <x v="7"/>
    <n v="5.5"/>
    <b v="1"/>
  </r>
  <r>
    <n v="228"/>
    <n v="22"/>
    <s v="Male"/>
    <s v="Graduate"/>
    <s v="Russia"/>
    <n v="4.8"/>
    <s v="VKontakte"/>
    <s v="No"/>
    <n v="7.2"/>
    <n v="7"/>
    <s v="Single"/>
    <n v="2"/>
    <n v="5"/>
    <s v="Vkontakte"/>
    <n v="2"/>
    <s v="7.2"/>
    <s v="OK"/>
    <x v="1"/>
    <x v="2"/>
    <x v="6"/>
    <n v="5.5"/>
    <b v="1"/>
  </r>
  <r>
    <n v="229"/>
    <n v="19"/>
    <s v="Female"/>
    <s v="Undergraduate"/>
    <s v="USA"/>
    <n v="7"/>
    <s v="TikTok"/>
    <s v="Yes"/>
    <n v="5.8"/>
    <n v="4"/>
    <s v="In Relationship"/>
    <n v="4"/>
    <n v="9"/>
    <s v="Tiktok"/>
    <n v="2"/>
    <s v="5.8"/>
    <s v="OK"/>
    <x v="0"/>
    <x v="0"/>
    <x v="2"/>
    <n v="5.5"/>
    <b v="1"/>
  </r>
  <r>
    <n v="230"/>
    <n v="21"/>
    <s v="Male"/>
    <s v="Graduate"/>
    <s v="UK"/>
    <n v="5.5"/>
    <s v="Instagram"/>
    <s v="Yes"/>
    <n v="6.7"/>
    <n v="6"/>
    <s v="Single"/>
    <n v="3"/>
    <n v="7"/>
    <s v="Instagram"/>
    <n v="1"/>
    <s v="6.7"/>
    <s v="OK"/>
    <x v="0"/>
    <x v="0"/>
    <x v="4"/>
    <n v="5.5"/>
    <b v="1"/>
  </r>
  <r>
    <n v="231"/>
    <n v="20"/>
    <s v="Female"/>
    <s v="Undergraduate"/>
    <s v="Australia"/>
    <n v="4.7"/>
    <s v="Facebook"/>
    <s v="No"/>
    <n v="7.4"/>
    <n v="7"/>
    <s v="In Relationship"/>
    <n v="2"/>
    <n v="5"/>
    <s v="Facebook"/>
    <n v="0"/>
    <s v="7.4"/>
    <s v="OK"/>
    <x v="1"/>
    <x v="2"/>
    <x v="6"/>
    <n v="5.5"/>
    <b v="1"/>
  </r>
  <r>
    <n v="232"/>
    <n v="22"/>
    <s v="Male"/>
    <s v="Graduate"/>
    <s v="Germany"/>
    <n v="4"/>
    <s v="Instagram"/>
    <s v="No"/>
    <n v="7.9"/>
    <n v="8"/>
    <s v="Single"/>
    <n v="1"/>
    <n v="4"/>
    <s v="Instagram"/>
    <n v="1"/>
    <s v="7.9"/>
    <s v="OK"/>
    <x v="1"/>
    <x v="1"/>
    <x v="3"/>
    <n v="5.5"/>
    <b v="1"/>
  </r>
  <r>
    <n v="233"/>
    <n v="19"/>
    <s v="Female"/>
    <s v="Undergraduate"/>
    <s v="Japan"/>
    <n v="3.5"/>
    <s v="LINE"/>
    <s v="No"/>
    <n v="8"/>
    <n v="8"/>
    <s v="Single"/>
    <n v="1"/>
    <n v="3"/>
    <s v="Line"/>
    <n v="0"/>
    <s v="8"/>
    <s v="OK"/>
    <x v="1"/>
    <x v="1"/>
    <x v="1"/>
    <n v="5.5"/>
    <b v="1"/>
  </r>
  <r>
    <n v="234"/>
    <n v="21"/>
    <s v="Male"/>
    <s v="Graduate"/>
    <s v="Italy"/>
    <n v="5.7"/>
    <s v="TikTok"/>
    <s v="Yes"/>
    <n v="6.5"/>
    <n v="5"/>
    <s v="In Relationship"/>
    <n v="3"/>
    <n v="8"/>
    <s v="Tiktok"/>
    <n v="2"/>
    <s v="6.5"/>
    <s v="OK"/>
    <x v="0"/>
    <x v="0"/>
    <x v="0"/>
    <n v="5.5"/>
    <b v="1"/>
  </r>
  <r>
    <n v="235"/>
    <n v="20"/>
    <s v="Female"/>
    <s v="Undergraduate"/>
    <s v="South Korea"/>
    <n v="5"/>
    <s v="KakaoTalk"/>
    <s v="Yes"/>
    <n v="6.8"/>
    <n v="6"/>
    <s v="Single"/>
    <n v="3"/>
    <n v="6"/>
    <s v="Kakaotalk"/>
    <n v="1"/>
    <s v="6.8"/>
    <s v="OK"/>
    <x v="1"/>
    <x v="2"/>
    <x v="7"/>
    <n v="5.5"/>
    <b v="1"/>
  </r>
  <r>
    <n v="236"/>
    <n v="22"/>
    <s v="Male"/>
    <s v="Graduate"/>
    <s v="Russia"/>
    <n v="4.5"/>
    <s v="VKontakte"/>
    <s v="No"/>
    <n v="7.4"/>
    <n v="7"/>
    <s v="In Relationship"/>
    <n v="2"/>
    <n v="5"/>
    <s v="Vkontakte"/>
    <n v="2"/>
    <s v="7.4"/>
    <s v="OK"/>
    <x v="1"/>
    <x v="2"/>
    <x v="6"/>
    <n v="5.5"/>
    <b v="1"/>
  </r>
  <r>
    <n v="237"/>
    <n v="19"/>
    <s v="Female"/>
    <s v="Undergraduate"/>
    <s v="USA"/>
    <n v="6.8"/>
    <s v="Instagram"/>
    <s v="Yes"/>
    <n v="5.9"/>
    <n v="4"/>
    <s v="Single"/>
    <n v="4"/>
    <n v="9"/>
    <s v="Instagram"/>
    <n v="1"/>
    <s v="5.9"/>
    <s v="OK"/>
    <x v="0"/>
    <x v="0"/>
    <x v="2"/>
    <n v="5.5"/>
    <b v="1"/>
  </r>
  <r>
    <n v="238"/>
    <n v="21"/>
    <s v="Male"/>
    <s v="Graduate"/>
    <s v="UK"/>
    <n v="5.6"/>
    <s v="Facebook"/>
    <s v="Yes"/>
    <n v="6.6"/>
    <n v="6"/>
    <s v="In Relationship"/>
    <n v="3"/>
    <n v="7"/>
    <s v="Facebook"/>
    <n v="0"/>
    <s v="6.6"/>
    <s v="OK"/>
    <x v="0"/>
    <x v="0"/>
    <x v="4"/>
    <n v="5.5"/>
    <b v="1"/>
  </r>
  <r>
    <n v="239"/>
    <n v="20"/>
    <s v="Female"/>
    <s v="Undergraduate"/>
    <s v="Australia"/>
    <n v="4.5999999999999996"/>
    <s v="Instagram"/>
    <s v="No"/>
    <n v="7.3"/>
    <n v="7"/>
    <s v="Single"/>
    <n v="2"/>
    <n v="5"/>
    <s v="Instagram"/>
    <n v="1"/>
    <s v="7.3"/>
    <s v="OK"/>
    <x v="1"/>
    <x v="2"/>
    <x v="6"/>
    <n v="5.4"/>
    <b v="1"/>
  </r>
  <r>
    <n v="240"/>
    <n v="22"/>
    <s v="Male"/>
    <s v="Graduate"/>
    <s v="Germany"/>
    <n v="4.0999999999999996"/>
    <s v="Facebook"/>
    <s v="No"/>
    <n v="7.7"/>
    <n v="8"/>
    <s v="In Relationship"/>
    <n v="2"/>
    <n v="4"/>
    <s v="Facebook"/>
    <n v="0"/>
    <s v="7.7"/>
    <s v="OK"/>
    <x v="1"/>
    <x v="1"/>
    <x v="3"/>
    <n v="5.4"/>
    <b v="1"/>
  </r>
  <r>
    <n v="241"/>
    <n v="19"/>
    <s v="Female"/>
    <s v="Undergraduate"/>
    <s v="Japan"/>
    <n v="3.7"/>
    <s v="LINE"/>
    <s v="No"/>
    <n v="7.8"/>
    <n v="8"/>
    <s v="Single"/>
    <n v="1"/>
    <n v="3"/>
    <s v="Line"/>
    <n v="0"/>
    <s v="7.8"/>
    <s v="OK"/>
    <x v="1"/>
    <x v="1"/>
    <x v="1"/>
    <n v="5.4"/>
    <b v="1"/>
  </r>
  <r>
    <n v="242"/>
    <n v="21"/>
    <s v="Male"/>
    <s v="Graduate"/>
    <s v="Italy"/>
    <n v="5.4"/>
    <s v="Instagram"/>
    <s v="Yes"/>
    <n v="6.7"/>
    <n v="5"/>
    <s v="Single"/>
    <n v="3"/>
    <n v="7"/>
    <s v="Instagram"/>
    <n v="1"/>
    <s v="6.7"/>
    <s v="OK"/>
    <x v="0"/>
    <x v="0"/>
    <x v="4"/>
    <n v="5.4"/>
    <b v="1"/>
  </r>
  <r>
    <n v="243"/>
    <n v="20"/>
    <s v="Female"/>
    <s v="Undergraduate"/>
    <s v="South Korea"/>
    <n v="5.0999999999999996"/>
    <s v="KakaoTalk"/>
    <s v="Yes"/>
    <n v="6.6"/>
    <n v="6"/>
    <s v="In Relationship"/>
    <n v="3"/>
    <n v="6"/>
    <s v="Kakaotalk"/>
    <n v="1"/>
    <s v="6.6"/>
    <s v="OK"/>
    <x v="1"/>
    <x v="2"/>
    <x v="7"/>
    <n v="5.4"/>
    <b v="1"/>
  </r>
  <r>
    <n v="244"/>
    <n v="22"/>
    <s v="Male"/>
    <s v="Graduate"/>
    <s v="Russia"/>
    <n v="4.7"/>
    <s v="VKontakte"/>
    <s v="No"/>
    <n v="7.3"/>
    <n v="7"/>
    <s v="Single"/>
    <n v="2"/>
    <n v="5"/>
    <s v="Vkontakte"/>
    <n v="2"/>
    <s v="7.3"/>
    <s v="OK"/>
    <x v="1"/>
    <x v="2"/>
    <x v="6"/>
    <n v="5.4"/>
    <b v="1"/>
  </r>
  <r>
    <n v="245"/>
    <n v="19"/>
    <s v="Female"/>
    <s v="Undergraduate"/>
    <s v="USA"/>
    <n v="6.9"/>
    <s v="TikTok"/>
    <s v="Yes"/>
    <n v="5.7"/>
    <n v="4"/>
    <s v="In Relationship"/>
    <n v="4"/>
    <n v="9"/>
    <s v="Tiktok"/>
    <n v="2"/>
    <s v="5.7"/>
    <s v="OK"/>
    <x v="0"/>
    <x v="0"/>
    <x v="2"/>
    <n v="5.4"/>
    <b v="1"/>
  </r>
  <r>
    <n v="246"/>
    <n v="21"/>
    <s v="Male"/>
    <s v="Graduate"/>
    <s v="UK"/>
    <n v="5.7"/>
    <s v="Instagram"/>
    <s v="Yes"/>
    <n v="6.4"/>
    <n v="6"/>
    <s v="Single"/>
    <n v="3"/>
    <n v="7"/>
    <s v="Instagram"/>
    <n v="1"/>
    <s v="6.4"/>
    <s v="OK"/>
    <x v="0"/>
    <x v="0"/>
    <x v="4"/>
    <n v="5.4"/>
    <b v="1"/>
  </r>
  <r>
    <n v="247"/>
    <n v="20"/>
    <s v="Female"/>
    <s v="Undergraduate"/>
    <s v="Australia"/>
    <n v="4.8"/>
    <s v="Facebook"/>
    <s v="No"/>
    <n v="7.2"/>
    <n v="7"/>
    <s v="In Relationship"/>
    <n v="2"/>
    <n v="5"/>
    <s v="Facebook"/>
    <n v="0"/>
    <s v="7.2"/>
    <s v="OK"/>
    <x v="1"/>
    <x v="2"/>
    <x v="6"/>
    <n v="5.4"/>
    <b v="1"/>
  </r>
  <r>
    <n v="248"/>
    <n v="22"/>
    <s v="Male"/>
    <s v="Graduate"/>
    <s v="Germany"/>
    <n v="3.9"/>
    <s v="Instagram"/>
    <s v="No"/>
    <n v="7.8"/>
    <n v="8"/>
    <s v="Single"/>
    <n v="1"/>
    <n v="4"/>
    <s v="Instagram"/>
    <n v="1"/>
    <s v="7.8"/>
    <s v="OK"/>
    <x v="1"/>
    <x v="1"/>
    <x v="3"/>
    <n v="5.4"/>
    <b v="1"/>
  </r>
  <r>
    <n v="249"/>
    <n v="19"/>
    <s v="Female"/>
    <s v="Undergraduate"/>
    <s v="Japan"/>
    <n v="3.6"/>
    <s v="LINE"/>
    <s v="No"/>
    <n v="8.1"/>
    <n v="8"/>
    <s v="Single"/>
    <n v="1"/>
    <n v="3"/>
    <s v="Line"/>
    <n v="0"/>
    <s v="8.1"/>
    <s v="OK"/>
    <x v="1"/>
    <x v="1"/>
    <x v="1"/>
    <n v="5.4"/>
    <b v="1"/>
  </r>
  <r>
    <n v="250"/>
    <n v="21"/>
    <s v="Male"/>
    <s v="Graduate"/>
    <s v="Italy"/>
    <n v="5.6"/>
    <s v="TikTok"/>
    <s v="Yes"/>
    <n v="6.6"/>
    <n v="5"/>
    <s v="In Relationship"/>
    <n v="3"/>
    <n v="8"/>
    <s v="Tiktok"/>
    <n v="2"/>
    <s v="6.6"/>
    <s v="OK"/>
    <x v="0"/>
    <x v="0"/>
    <x v="0"/>
    <n v="5.4"/>
    <b v="1"/>
  </r>
  <r>
    <n v="251"/>
    <n v="20"/>
    <s v="Female"/>
    <s v="Undergraduate"/>
    <s v="South Korea"/>
    <n v="4.9000000000000004"/>
    <s v="KakaoTalk"/>
    <s v="Yes"/>
    <n v="6.9"/>
    <n v="6"/>
    <s v="Single"/>
    <n v="3"/>
    <n v="6"/>
    <s v="Kakaotalk"/>
    <n v="1"/>
    <s v="6.9"/>
    <s v="OK"/>
    <x v="1"/>
    <x v="2"/>
    <x v="7"/>
    <n v="5.4"/>
    <b v="1"/>
  </r>
  <r>
    <n v="252"/>
    <n v="22"/>
    <s v="Male"/>
    <s v="Graduate"/>
    <s v="Russia"/>
    <n v="4.5999999999999996"/>
    <s v="VKontakte"/>
    <s v="No"/>
    <n v="7.5"/>
    <n v="7"/>
    <s v="In Relationship"/>
    <n v="2"/>
    <n v="5"/>
    <s v="Vkontakte"/>
    <n v="2"/>
    <s v="7.5"/>
    <s v="OK"/>
    <x v="1"/>
    <x v="2"/>
    <x v="6"/>
    <n v="5.4"/>
    <b v="1"/>
  </r>
  <r>
    <n v="253"/>
    <n v="19"/>
    <s v="Female"/>
    <s v="Undergraduate"/>
    <s v="USA"/>
    <n v="6.7"/>
    <s v="Instagram"/>
    <s v="Yes"/>
    <n v="5.8"/>
    <n v="4"/>
    <s v="Single"/>
    <n v="4"/>
    <n v="9"/>
    <s v="Instagram"/>
    <n v="1"/>
    <s v="5.8"/>
    <s v="OK"/>
    <x v="0"/>
    <x v="0"/>
    <x v="2"/>
    <n v="5.3"/>
    <b v="1"/>
  </r>
  <r>
    <n v="254"/>
    <n v="21"/>
    <s v="Male"/>
    <s v="Graduate"/>
    <s v="UK"/>
    <n v="5.4"/>
    <s v="Facebook"/>
    <s v="Yes"/>
    <n v="6.5"/>
    <n v="6"/>
    <s v="In Relationship"/>
    <n v="3"/>
    <n v="7"/>
    <s v="Facebook"/>
    <n v="0"/>
    <s v="6.5"/>
    <s v="OK"/>
    <x v="0"/>
    <x v="0"/>
    <x v="4"/>
    <n v="5.3"/>
    <b v="1"/>
  </r>
  <r>
    <n v="255"/>
    <n v="20"/>
    <s v="Female"/>
    <s v="Undergraduate"/>
    <s v="Australia"/>
    <n v="4.4000000000000004"/>
    <s v="Instagram"/>
    <s v="No"/>
    <n v="7.4"/>
    <n v="7"/>
    <s v="Single"/>
    <n v="2"/>
    <n v="5"/>
    <s v="Instagram"/>
    <n v="1"/>
    <s v="7.4"/>
    <s v="OK"/>
    <x v="1"/>
    <x v="2"/>
    <x v="6"/>
    <n v="5.3"/>
    <b v="1"/>
  </r>
  <r>
    <n v="256"/>
    <n v="22"/>
    <s v="Male"/>
    <s v="Graduate"/>
    <s v="Germany"/>
    <n v="4"/>
    <s v="Facebook"/>
    <s v="No"/>
    <n v="7.6"/>
    <n v="8"/>
    <s v="In Relationship"/>
    <n v="2"/>
    <n v="4"/>
    <s v="Facebook"/>
    <n v="0"/>
    <s v="7.6"/>
    <s v="OK"/>
    <x v="1"/>
    <x v="1"/>
    <x v="3"/>
    <n v="5.3"/>
    <b v="1"/>
  </r>
  <r>
    <n v="257"/>
    <n v="19"/>
    <s v="Female"/>
    <s v="Undergraduate"/>
    <s v="Japan"/>
    <n v="3.4"/>
    <s v="LINE"/>
    <s v="No"/>
    <n v="8.1999999999999993"/>
    <n v="8"/>
    <s v="Single"/>
    <n v="1"/>
    <n v="3"/>
    <s v="Line"/>
    <n v="0"/>
    <s v="8.2"/>
    <s v="OK"/>
    <x v="1"/>
    <x v="1"/>
    <x v="1"/>
    <n v="5.3"/>
    <b v="1"/>
  </r>
  <r>
    <n v="258"/>
    <n v="21"/>
    <s v="Male"/>
    <s v="Graduate"/>
    <s v="Italy"/>
    <n v="5.3"/>
    <s v="Instagram"/>
    <s v="Yes"/>
    <n v="6.8"/>
    <n v="5"/>
    <s v="Single"/>
    <n v="3"/>
    <n v="7"/>
    <s v="Instagram"/>
    <n v="1"/>
    <s v="6.8"/>
    <s v="OK"/>
    <x v="0"/>
    <x v="0"/>
    <x v="4"/>
    <n v="5.3"/>
    <b v="1"/>
  </r>
  <r>
    <n v="259"/>
    <n v="20"/>
    <s v="Female"/>
    <s v="Undergraduate"/>
    <s v="South Korea"/>
    <n v="5"/>
    <s v="KakaoTalk"/>
    <s v="Yes"/>
    <n v="6.7"/>
    <n v="6"/>
    <s v="In Relationship"/>
    <n v="3"/>
    <n v="6"/>
    <s v="Kakaotalk"/>
    <n v="1"/>
    <s v="6.7"/>
    <s v="OK"/>
    <x v="1"/>
    <x v="2"/>
    <x v="7"/>
    <n v="5.3"/>
    <b v="1"/>
  </r>
  <r>
    <n v="260"/>
    <n v="22"/>
    <s v="Male"/>
    <s v="Graduate"/>
    <s v="Russia"/>
    <n v="4.4000000000000004"/>
    <s v="VKontakte"/>
    <s v="No"/>
    <n v="7.6"/>
    <n v="7"/>
    <s v="Single"/>
    <n v="2"/>
    <n v="5"/>
    <s v="Vkontakte"/>
    <n v="2"/>
    <s v="7.6"/>
    <s v="OK"/>
    <x v="1"/>
    <x v="2"/>
    <x v="6"/>
    <n v="5.3"/>
    <b v="1"/>
  </r>
  <r>
    <n v="261"/>
    <n v="19"/>
    <s v="Female"/>
    <s v="Undergraduate"/>
    <s v="USA"/>
    <n v="6.6"/>
    <s v="TikTok"/>
    <s v="Yes"/>
    <n v="5.6"/>
    <n v="4"/>
    <s v="In Relationship"/>
    <n v="4"/>
    <n v="9"/>
    <s v="Tiktok"/>
    <n v="2"/>
    <s v="5.6"/>
    <s v="OK"/>
    <x v="0"/>
    <x v="0"/>
    <x v="2"/>
    <n v="5.3"/>
    <b v="1"/>
  </r>
  <r>
    <n v="262"/>
    <n v="21"/>
    <s v="Male"/>
    <s v="Graduate"/>
    <s v="UK"/>
    <n v="5.3"/>
    <s v="Instagram"/>
    <s v="Yes"/>
    <n v="6.3"/>
    <n v="6"/>
    <s v="Single"/>
    <n v="3"/>
    <n v="7"/>
    <s v="Instagram"/>
    <n v="1"/>
    <s v="6.3"/>
    <s v="OK"/>
    <x v="0"/>
    <x v="0"/>
    <x v="4"/>
    <n v="5.3"/>
    <b v="1"/>
  </r>
  <r>
    <n v="263"/>
    <n v="20"/>
    <s v="Female"/>
    <s v="Undergraduate"/>
    <s v="Australia"/>
    <n v="4.3"/>
    <s v="Facebook"/>
    <s v="No"/>
    <n v="7.5"/>
    <n v="7"/>
    <s v="In Relationship"/>
    <n v="2"/>
    <n v="5"/>
    <s v="Facebook"/>
    <n v="0"/>
    <s v="7.5"/>
    <s v="OK"/>
    <x v="1"/>
    <x v="2"/>
    <x v="6"/>
    <n v="5.3"/>
    <b v="1"/>
  </r>
  <r>
    <n v="264"/>
    <n v="22"/>
    <s v="Male"/>
    <s v="Graduate"/>
    <s v="Germany"/>
    <n v="3.8"/>
    <s v="Instagram"/>
    <s v="No"/>
    <n v="7.7"/>
    <n v="8"/>
    <s v="Single"/>
    <n v="1"/>
    <n v="4"/>
    <s v="Instagram"/>
    <n v="1"/>
    <s v="7.7"/>
    <s v="OK"/>
    <x v="1"/>
    <x v="1"/>
    <x v="3"/>
    <n v="5.3"/>
    <b v="1"/>
  </r>
  <r>
    <n v="265"/>
    <n v="19"/>
    <s v="Female"/>
    <s v="Undergraduate"/>
    <s v="Japan"/>
    <n v="3.3"/>
    <s v="LINE"/>
    <s v="No"/>
    <n v="8.3000000000000007"/>
    <n v="8"/>
    <s v="Single"/>
    <n v="1"/>
    <n v="3"/>
    <s v="Line"/>
    <n v="0"/>
    <s v="8.3"/>
    <s v="OK"/>
    <x v="1"/>
    <x v="1"/>
    <x v="1"/>
    <n v="5.3"/>
    <b v="1"/>
  </r>
  <r>
    <n v="266"/>
    <n v="21"/>
    <s v="Male"/>
    <s v="Graduate"/>
    <s v="Italy"/>
    <n v="5.2"/>
    <s v="TikTok"/>
    <s v="Yes"/>
    <n v="6.9"/>
    <n v="5"/>
    <s v="In Relationship"/>
    <n v="3"/>
    <n v="8"/>
    <s v="Tiktok"/>
    <n v="2"/>
    <s v="6.9"/>
    <s v="OK"/>
    <x v="0"/>
    <x v="0"/>
    <x v="0"/>
    <n v="5.3"/>
    <b v="1"/>
  </r>
  <r>
    <n v="267"/>
    <n v="20"/>
    <s v="Female"/>
    <s v="Undergraduate"/>
    <s v="South Korea"/>
    <n v="4.8"/>
    <s v="KakaoTalk"/>
    <s v="Yes"/>
    <n v="7"/>
    <n v="6"/>
    <s v="Single"/>
    <n v="3"/>
    <n v="6"/>
    <s v="Kakaotalk"/>
    <n v="1"/>
    <s v="7"/>
    <s v="OK"/>
    <x v="1"/>
    <x v="2"/>
    <x v="7"/>
    <n v="5.2"/>
    <b v="1"/>
  </r>
  <r>
    <n v="268"/>
    <n v="22"/>
    <s v="Male"/>
    <s v="Graduate"/>
    <s v="Russia"/>
    <n v="4.3"/>
    <s v="VKontakte"/>
    <s v="No"/>
    <n v="7.7"/>
    <n v="7"/>
    <s v="In Relationship"/>
    <n v="2"/>
    <n v="5"/>
    <s v="Vkontakte"/>
    <n v="2"/>
    <s v="7.7"/>
    <s v="OK"/>
    <x v="1"/>
    <x v="2"/>
    <x v="6"/>
    <n v="5.2"/>
    <b v="1"/>
  </r>
  <r>
    <n v="269"/>
    <n v="19"/>
    <s v="Female"/>
    <s v="Undergraduate"/>
    <s v="USA"/>
    <n v="6.4"/>
    <s v="Instagram"/>
    <s v="Yes"/>
    <n v="5.7"/>
    <n v="4"/>
    <s v="Single"/>
    <n v="4"/>
    <n v="9"/>
    <s v="Instagram"/>
    <n v="1"/>
    <s v="5.7"/>
    <s v="OK"/>
    <x v="0"/>
    <x v="0"/>
    <x v="2"/>
    <n v="5.2"/>
    <b v="1"/>
  </r>
  <r>
    <n v="270"/>
    <n v="21"/>
    <s v="Male"/>
    <s v="Graduate"/>
    <s v="UK"/>
    <n v="5.2"/>
    <s v="Facebook"/>
    <s v="Yes"/>
    <n v="6.4"/>
    <n v="6"/>
    <s v="In Relationship"/>
    <n v="3"/>
    <n v="7"/>
    <s v="Facebook"/>
    <n v="0"/>
    <s v="6.4"/>
    <s v="OK"/>
    <x v="0"/>
    <x v="0"/>
    <x v="4"/>
    <n v="5.2"/>
    <b v="1"/>
  </r>
  <r>
    <n v="271"/>
    <n v="20"/>
    <s v="Female"/>
    <s v="Undergraduate"/>
    <s v="Australia"/>
    <n v="4.5"/>
    <s v="Instagram"/>
    <s v="No"/>
    <n v="7.3"/>
    <n v="7"/>
    <s v="Single"/>
    <n v="2"/>
    <n v="5"/>
    <s v="Instagram"/>
    <n v="1"/>
    <s v="7.3"/>
    <s v="OK"/>
    <x v="1"/>
    <x v="2"/>
    <x v="6"/>
    <n v="5.2"/>
    <b v="1"/>
  </r>
  <r>
    <n v="272"/>
    <n v="22"/>
    <s v="Male"/>
    <s v="Graduate"/>
    <s v="Germany"/>
    <n v="3.7"/>
    <s v="Facebook"/>
    <s v="No"/>
    <n v="7.8"/>
    <n v="8"/>
    <s v="In Relationship"/>
    <n v="1"/>
    <n v="4"/>
    <s v="Facebook"/>
    <n v="0"/>
    <s v="7.8"/>
    <s v="OK"/>
    <x v="1"/>
    <x v="1"/>
    <x v="3"/>
    <n v="5.2"/>
    <b v="1"/>
  </r>
  <r>
    <n v="273"/>
    <n v="19"/>
    <s v="Female"/>
    <s v="Undergraduate"/>
    <s v="Japan"/>
    <n v="3.2"/>
    <s v="LINE"/>
    <s v="No"/>
    <n v="8.4"/>
    <n v="8"/>
    <s v="Single"/>
    <n v="1"/>
    <n v="3"/>
    <s v="Line"/>
    <n v="0"/>
    <s v="8.4"/>
    <s v="OK"/>
    <x v="1"/>
    <x v="1"/>
    <x v="1"/>
    <n v="5.2"/>
    <b v="1"/>
  </r>
  <r>
    <n v="274"/>
    <n v="21"/>
    <s v="Male"/>
    <s v="Graduate"/>
    <s v="Italy"/>
    <n v="5.4"/>
    <s v="Instagram"/>
    <s v="Yes"/>
    <n v="6.7"/>
    <n v="5"/>
    <s v="Single"/>
    <n v="3"/>
    <n v="7"/>
    <s v="Instagram"/>
    <n v="1"/>
    <s v="6.7"/>
    <s v="OK"/>
    <x v="0"/>
    <x v="0"/>
    <x v="4"/>
    <n v="5.2"/>
    <b v="1"/>
  </r>
  <r>
    <n v="275"/>
    <n v="20"/>
    <s v="Female"/>
    <s v="Undergraduate"/>
    <s v="South Korea"/>
    <n v="4.7"/>
    <s v="KakaoTalk"/>
    <s v="Yes"/>
    <n v="7.1"/>
    <n v="6"/>
    <s v="In Relationship"/>
    <n v="3"/>
    <n v="6"/>
    <s v="Kakaotalk"/>
    <n v="1"/>
    <s v="7.1"/>
    <s v="OK"/>
    <x v="1"/>
    <x v="2"/>
    <x v="7"/>
    <n v="5.2"/>
    <b v="1"/>
  </r>
  <r>
    <n v="276"/>
    <n v="22"/>
    <s v="Male"/>
    <s v="Graduate"/>
    <s v="Russia"/>
    <n v="4.2"/>
    <s v="VKontakte"/>
    <s v="No"/>
    <n v="7.8"/>
    <n v="7"/>
    <s v="Single"/>
    <n v="2"/>
    <n v="5"/>
    <s v="Vkontakte"/>
    <n v="2"/>
    <s v="7.8"/>
    <s v="OK"/>
    <x v="1"/>
    <x v="2"/>
    <x v="6"/>
    <n v="5.2"/>
    <b v="1"/>
  </r>
  <r>
    <n v="277"/>
    <n v="19"/>
    <s v="Female"/>
    <s v="Undergraduate"/>
    <s v="USA"/>
    <n v="6.6"/>
    <s v="TikTok"/>
    <s v="Yes"/>
    <n v="5.5"/>
    <n v="4"/>
    <s v="In Relationship"/>
    <n v="4"/>
    <n v="9"/>
    <s v="Tiktok"/>
    <n v="2"/>
    <s v="5.5"/>
    <s v="OK"/>
    <x v="0"/>
    <x v="0"/>
    <x v="2"/>
    <n v="5.2"/>
    <b v="1"/>
  </r>
  <r>
    <n v="278"/>
    <n v="21"/>
    <s v="Male"/>
    <s v="Graduate"/>
    <s v="UK"/>
    <n v="5.0999999999999996"/>
    <s v="Instagram"/>
    <s v="Yes"/>
    <n v="6.5"/>
    <n v="6"/>
    <s v="Single"/>
    <n v="3"/>
    <n v="7"/>
    <s v="Instagram"/>
    <n v="1"/>
    <s v="6.5"/>
    <s v="OK"/>
    <x v="0"/>
    <x v="0"/>
    <x v="4"/>
    <n v="5.2"/>
    <b v="1"/>
  </r>
  <r>
    <n v="279"/>
    <n v="20"/>
    <s v="Female"/>
    <s v="Undergraduate"/>
    <s v="Australia"/>
    <n v="4.4000000000000004"/>
    <s v="Facebook"/>
    <s v="No"/>
    <n v="7.4"/>
    <n v="7"/>
    <s v="In Relationship"/>
    <n v="2"/>
    <n v="5"/>
    <s v="Facebook"/>
    <n v="0"/>
    <s v="7.4"/>
    <s v="OK"/>
    <x v="1"/>
    <x v="2"/>
    <x v="6"/>
    <n v="5.2"/>
    <b v="1"/>
  </r>
  <r>
    <n v="280"/>
    <n v="22"/>
    <s v="Male"/>
    <s v="Graduate"/>
    <s v="Germany"/>
    <n v="3.6"/>
    <s v="Instagram"/>
    <s v="No"/>
    <n v="7.9"/>
    <n v="8"/>
    <s v="Single"/>
    <n v="1"/>
    <n v="4"/>
    <s v="Instagram"/>
    <n v="1"/>
    <s v="7.9"/>
    <s v="OK"/>
    <x v="1"/>
    <x v="1"/>
    <x v="3"/>
    <n v="5.2"/>
    <b v="1"/>
  </r>
  <r>
    <n v="281"/>
    <n v="19"/>
    <s v="Female"/>
    <s v="Undergraduate"/>
    <s v="Japan"/>
    <n v="3.1"/>
    <s v="LINE"/>
    <s v="No"/>
    <n v="8.5"/>
    <n v="8"/>
    <s v="Single"/>
    <n v="1"/>
    <n v="3"/>
    <s v="Line"/>
    <n v="0"/>
    <s v="8.5"/>
    <s v="OK"/>
    <x v="1"/>
    <x v="1"/>
    <x v="1"/>
    <n v="5.2"/>
    <b v="1"/>
  </r>
  <r>
    <n v="282"/>
    <n v="21"/>
    <s v="Male"/>
    <s v="Graduate"/>
    <s v="Italy"/>
    <n v="5.3"/>
    <s v="TikTok"/>
    <s v="Yes"/>
    <n v="6.8"/>
    <n v="5"/>
    <s v="In Relationship"/>
    <n v="3"/>
    <n v="8"/>
    <s v="Tiktok"/>
    <n v="2"/>
    <s v="6.8"/>
    <s v="OK"/>
    <x v="0"/>
    <x v="0"/>
    <x v="0"/>
    <n v="5.0999999999999996"/>
    <b v="1"/>
  </r>
  <r>
    <n v="283"/>
    <n v="20"/>
    <s v="Female"/>
    <s v="Undergraduate"/>
    <s v="South Korea"/>
    <n v="4.5999999999999996"/>
    <s v="KakaoTalk"/>
    <s v="Yes"/>
    <n v="7.2"/>
    <n v="6"/>
    <s v="Single"/>
    <n v="3"/>
    <n v="6"/>
    <s v="Kakaotalk"/>
    <n v="1"/>
    <s v="7.2"/>
    <s v="OK"/>
    <x v="1"/>
    <x v="2"/>
    <x v="7"/>
    <n v="5.0999999999999996"/>
    <b v="1"/>
  </r>
  <r>
    <n v="284"/>
    <n v="22"/>
    <s v="Male"/>
    <s v="Graduate"/>
    <s v="Russia"/>
    <n v="4.0999999999999996"/>
    <s v="VKontakte"/>
    <s v="No"/>
    <n v="7.9"/>
    <n v="7"/>
    <s v="In Relationship"/>
    <n v="2"/>
    <n v="5"/>
    <s v="Vkontakte"/>
    <n v="2"/>
    <s v="7.9"/>
    <s v="OK"/>
    <x v="1"/>
    <x v="2"/>
    <x v="6"/>
    <n v="5.0999999999999996"/>
    <b v="1"/>
  </r>
  <r>
    <n v="285"/>
    <n v="19"/>
    <s v="Female"/>
    <s v="Undergraduate"/>
    <s v="USA"/>
    <n v="6.7"/>
    <s v="Instagram"/>
    <s v="Yes"/>
    <n v="5.4"/>
    <n v="4"/>
    <s v="Single"/>
    <n v="4"/>
    <n v="9"/>
    <s v="Instagram"/>
    <n v="1"/>
    <s v="5.4"/>
    <s v="OK"/>
    <x v="0"/>
    <x v="0"/>
    <x v="2"/>
    <n v="5.0999999999999996"/>
    <b v="1"/>
  </r>
  <r>
    <n v="286"/>
    <n v="21"/>
    <s v="Male"/>
    <s v="Graduate"/>
    <s v="UK"/>
    <n v="5"/>
    <s v="Facebook"/>
    <s v="Yes"/>
    <n v="6.6"/>
    <n v="6"/>
    <s v="In Relationship"/>
    <n v="3"/>
    <n v="7"/>
    <s v="Facebook"/>
    <n v="0"/>
    <s v="6.6"/>
    <s v="OK"/>
    <x v="0"/>
    <x v="0"/>
    <x v="4"/>
    <n v="5.0999999999999996"/>
    <b v="1"/>
  </r>
  <r>
    <n v="287"/>
    <n v="20"/>
    <s v="Female"/>
    <s v="Undergraduate"/>
    <s v="Australia"/>
    <n v="4.3"/>
    <s v="Instagram"/>
    <s v="No"/>
    <n v="7.5"/>
    <n v="7"/>
    <s v="Single"/>
    <n v="2"/>
    <n v="5"/>
    <s v="Instagram"/>
    <n v="1"/>
    <s v="7.5"/>
    <s v="OK"/>
    <x v="1"/>
    <x v="2"/>
    <x v="6"/>
    <n v="5.0999999999999996"/>
    <b v="1"/>
  </r>
  <r>
    <n v="288"/>
    <n v="22"/>
    <s v="Male"/>
    <s v="Graduate"/>
    <s v="Germany"/>
    <n v="3.5"/>
    <s v="Facebook"/>
    <s v="No"/>
    <n v="8"/>
    <n v="8"/>
    <s v="In Relationship"/>
    <n v="1"/>
    <n v="4"/>
    <s v="Facebook"/>
    <n v="0"/>
    <s v="8"/>
    <s v="OK"/>
    <x v="1"/>
    <x v="1"/>
    <x v="3"/>
    <n v="5.0999999999999996"/>
    <b v="1"/>
  </r>
  <r>
    <n v="289"/>
    <n v="19"/>
    <s v="Female"/>
    <s v="Undergraduate"/>
    <s v="Japan"/>
    <n v="3"/>
    <s v="LINE"/>
    <s v="No"/>
    <n v="8.6"/>
    <n v="8"/>
    <s v="Single"/>
    <n v="1"/>
    <n v="3"/>
    <s v="Line"/>
    <n v="0"/>
    <s v="8.6"/>
    <s v="OK"/>
    <x v="1"/>
    <x v="1"/>
    <x v="1"/>
    <n v="5.0999999999999996"/>
    <b v="1"/>
  </r>
  <r>
    <n v="290"/>
    <n v="21"/>
    <s v="Male"/>
    <s v="Graduate"/>
    <s v="Italy"/>
    <n v="5.2"/>
    <s v="Instagram"/>
    <s v="Yes"/>
    <n v="6.9"/>
    <n v="5"/>
    <s v="Single"/>
    <n v="3"/>
    <n v="7"/>
    <s v="Instagram"/>
    <n v="1"/>
    <s v="6.9"/>
    <s v="OK"/>
    <x v="0"/>
    <x v="0"/>
    <x v="4"/>
    <n v="5.0999999999999996"/>
    <b v="1"/>
  </r>
  <r>
    <n v="291"/>
    <n v="20"/>
    <s v="Female"/>
    <s v="Undergraduate"/>
    <s v="South Korea"/>
    <n v="4.5"/>
    <s v="KakaoTalk"/>
    <s v="Yes"/>
    <n v="7.3"/>
    <n v="6"/>
    <s v="In Relationship"/>
    <n v="3"/>
    <n v="6"/>
    <s v="Kakaotalk"/>
    <n v="1"/>
    <s v="7.3"/>
    <s v="OK"/>
    <x v="1"/>
    <x v="2"/>
    <x v="7"/>
    <n v="5.0999999999999996"/>
    <b v="1"/>
  </r>
  <r>
    <n v="292"/>
    <n v="22"/>
    <s v="Male"/>
    <s v="Graduate"/>
    <s v="Russia"/>
    <n v="4"/>
    <s v="VKontakte"/>
    <s v="No"/>
    <n v="8"/>
    <n v="7"/>
    <s v="Single"/>
    <n v="2"/>
    <n v="5"/>
    <s v="Vkontakte"/>
    <n v="2"/>
    <s v="8"/>
    <s v="OK"/>
    <x v="1"/>
    <x v="2"/>
    <x v="6"/>
    <n v="5.0999999999999996"/>
    <b v="1"/>
  </r>
  <r>
    <n v="293"/>
    <n v="19"/>
    <s v="Female"/>
    <s v="Undergraduate"/>
    <s v="USA"/>
    <n v="6.8"/>
    <s v="TikTok"/>
    <s v="Yes"/>
    <n v="5.3"/>
    <n v="4"/>
    <s v="In Relationship"/>
    <n v="4"/>
    <n v="9"/>
    <s v="Tiktok"/>
    <n v="2"/>
    <s v="5.3"/>
    <s v="OK"/>
    <x v="0"/>
    <x v="0"/>
    <x v="2"/>
    <n v="5.0999999999999996"/>
    <b v="1"/>
  </r>
  <r>
    <n v="294"/>
    <n v="21"/>
    <s v="Male"/>
    <s v="Graduate"/>
    <s v="UK"/>
    <n v="4.9000000000000004"/>
    <s v="Instagram"/>
    <s v="Yes"/>
    <n v="6.7"/>
    <n v="6"/>
    <s v="Single"/>
    <n v="3"/>
    <n v="7"/>
    <s v="Instagram"/>
    <n v="1"/>
    <s v="6.7"/>
    <s v="OK"/>
    <x v="0"/>
    <x v="0"/>
    <x v="4"/>
    <n v="5.0999999999999996"/>
    <b v="1"/>
  </r>
  <r>
    <n v="295"/>
    <n v="20"/>
    <s v="Female"/>
    <s v="Undergraduate"/>
    <s v="Australia"/>
    <n v="4.2"/>
    <s v="Facebook"/>
    <s v="No"/>
    <n v="7.6"/>
    <n v="7"/>
    <s v="In Relationship"/>
    <n v="2"/>
    <n v="5"/>
    <s v="Facebook"/>
    <n v="0"/>
    <s v="7.6"/>
    <s v="OK"/>
    <x v="1"/>
    <x v="2"/>
    <x v="6"/>
    <n v="5"/>
    <b v="1"/>
  </r>
  <r>
    <n v="296"/>
    <n v="22"/>
    <s v="Male"/>
    <s v="Graduate"/>
    <s v="Germany"/>
    <n v="3.4"/>
    <s v="Instagram"/>
    <s v="No"/>
    <n v="8.1"/>
    <n v="8"/>
    <s v="Single"/>
    <n v="1"/>
    <n v="4"/>
    <s v="Instagram"/>
    <n v="1"/>
    <s v="8.1"/>
    <s v="OK"/>
    <x v="1"/>
    <x v="1"/>
    <x v="3"/>
    <n v="5"/>
    <b v="1"/>
  </r>
  <r>
    <n v="297"/>
    <n v="19"/>
    <s v="Female"/>
    <s v="Undergraduate"/>
    <s v="Japan"/>
    <n v="2.9"/>
    <s v="LINE"/>
    <s v="No"/>
    <n v="8.6999999999999993"/>
    <n v="8"/>
    <s v="Single"/>
    <n v="1"/>
    <n v="3"/>
    <s v="Line"/>
    <n v="0"/>
    <s v="8.7"/>
    <s v="OK"/>
    <x v="1"/>
    <x v="1"/>
    <x v="1"/>
    <n v="5"/>
    <b v="1"/>
  </r>
  <r>
    <n v="298"/>
    <n v="21"/>
    <s v="Male"/>
    <s v="Graduate"/>
    <s v="Italy"/>
    <n v="5.0999999999999996"/>
    <s v="TikTok"/>
    <s v="Yes"/>
    <n v="7"/>
    <n v="5"/>
    <s v="In Relationship"/>
    <n v="3"/>
    <n v="8"/>
    <s v="Tiktok"/>
    <n v="2"/>
    <s v="7"/>
    <s v="OK"/>
    <x v="0"/>
    <x v="0"/>
    <x v="0"/>
    <n v="5"/>
    <b v="1"/>
  </r>
  <r>
    <n v="299"/>
    <n v="20"/>
    <s v="Female"/>
    <s v="Undergraduate"/>
    <s v="South Korea"/>
    <n v="4.4000000000000004"/>
    <s v="KakaoTalk"/>
    <s v="Yes"/>
    <n v="7.4"/>
    <n v="6"/>
    <s v="Single"/>
    <n v="3"/>
    <n v="6"/>
    <s v="Kakaotalk"/>
    <n v="1"/>
    <s v="7.4"/>
    <s v="OK"/>
    <x v="1"/>
    <x v="2"/>
    <x v="7"/>
    <n v="5"/>
    <b v="1"/>
  </r>
  <r>
    <n v="300"/>
    <n v="22"/>
    <s v="Male"/>
    <s v="Graduate"/>
    <s v="Russia"/>
    <n v="3.9"/>
    <s v="VKontakte"/>
    <s v="No"/>
    <n v="8.1"/>
    <n v="7"/>
    <s v="In Relationship"/>
    <n v="2"/>
    <n v="5"/>
    <s v="Vkontakte"/>
    <n v="2"/>
    <s v="8.1"/>
    <s v="OK"/>
    <x v="1"/>
    <x v="2"/>
    <x v="6"/>
    <n v="5"/>
    <b v="1"/>
  </r>
  <r>
    <n v="301"/>
    <n v="19"/>
    <s v="Female"/>
    <s v="Undergraduate"/>
    <s v="USA"/>
    <n v="6.9"/>
    <s v="Instagram"/>
    <s v="Yes"/>
    <n v="5.2"/>
    <n v="4"/>
    <s v="Single"/>
    <n v="4"/>
    <n v="9"/>
    <s v="Instagram"/>
    <n v="1"/>
    <s v="5.2"/>
    <s v="OK"/>
    <x v="0"/>
    <x v="0"/>
    <x v="2"/>
    <n v="5"/>
    <b v="1"/>
  </r>
  <r>
    <n v="302"/>
    <n v="21"/>
    <s v="Male"/>
    <s v="Graduate"/>
    <s v="UK"/>
    <n v="4.8"/>
    <s v="Facebook"/>
    <s v="Yes"/>
    <n v="6.8"/>
    <n v="6"/>
    <s v="In Relationship"/>
    <n v="3"/>
    <n v="7"/>
    <s v="Facebook"/>
    <n v="0"/>
    <s v="6.8"/>
    <s v="OK"/>
    <x v="0"/>
    <x v="0"/>
    <x v="4"/>
    <n v="5"/>
    <b v="1"/>
  </r>
  <r>
    <n v="303"/>
    <n v="20"/>
    <s v="Female"/>
    <s v="Undergraduate"/>
    <s v="Australia"/>
    <n v="4.0999999999999996"/>
    <s v="Instagram"/>
    <s v="No"/>
    <n v="7.7"/>
    <n v="7"/>
    <s v="Single"/>
    <n v="2"/>
    <n v="5"/>
    <s v="Instagram"/>
    <n v="1"/>
    <s v="7.7"/>
    <s v="OK"/>
    <x v="1"/>
    <x v="2"/>
    <x v="6"/>
    <n v="5"/>
    <b v="1"/>
  </r>
  <r>
    <n v="304"/>
    <n v="22"/>
    <s v="Male"/>
    <s v="Graduate"/>
    <s v="Germany"/>
    <n v="3.3"/>
    <s v="Facebook"/>
    <s v="No"/>
    <n v="8.1999999999999993"/>
    <n v="8"/>
    <s v="In Relationship"/>
    <n v="1"/>
    <n v="4"/>
    <s v="Facebook"/>
    <n v="0"/>
    <s v="8.2"/>
    <s v="OK"/>
    <x v="1"/>
    <x v="1"/>
    <x v="3"/>
    <n v="5"/>
    <b v="1"/>
  </r>
  <r>
    <n v="305"/>
    <n v="19"/>
    <s v="Female"/>
    <s v="Undergraduate"/>
    <s v="Japan"/>
    <n v="2.8"/>
    <s v="LINE"/>
    <s v="No"/>
    <n v="8.8000000000000007"/>
    <n v="8"/>
    <s v="Single"/>
    <n v="1"/>
    <n v="3"/>
    <s v="Line"/>
    <n v="0"/>
    <s v="8.8"/>
    <s v="OK"/>
    <x v="1"/>
    <x v="1"/>
    <x v="1"/>
    <n v="5"/>
    <b v="1"/>
  </r>
  <r>
    <n v="306"/>
    <n v="21"/>
    <s v="Male"/>
    <s v="Graduate"/>
    <s v="Italy"/>
    <n v="5"/>
    <s v="Instagram"/>
    <s v="Yes"/>
    <n v="7.1"/>
    <n v="5"/>
    <s v="Single"/>
    <n v="3"/>
    <n v="7"/>
    <s v="Instagram"/>
    <n v="1"/>
    <s v="7.1"/>
    <s v="OK"/>
    <x v="0"/>
    <x v="0"/>
    <x v="4"/>
    <n v="5"/>
    <b v="1"/>
  </r>
  <r>
    <n v="307"/>
    <n v="20"/>
    <s v="Female"/>
    <s v="Undergraduate"/>
    <s v="South Korea"/>
    <n v="4.3"/>
    <s v="KakaoTalk"/>
    <s v="Yes"/>
    <n v="7.5"/>
    <n v="6"/>
    <s v="In Relationship"/>
    <n v="3"/>
    <n v="6"/>
    <s v="Kakaotalk"/>
    <n v="1"/>
    <s v="7.5"/>
    <s v="OK"/>
    <x v="1"/>
    <x v="2"/>
    <x v="7"/>
    <n v="5"/>
    <b v="1"/>
  </r>
  <r>
    <n v="308"/>
    <n v="22"/>
    <s v="Male"/>
    <s v="Graduate"/>
    <s v="Russia"/>
    <n v="3.8"/>
    <s v="VKontakte"/>
    <s v="No"/>
    <n v="8.1999999999999993"/>
    <n v="7"/>
    <s v="Single"/>
    <n v="2"/>
    <n v="5"/>
    <s v="Vkontakte"/>
    <n v="2"/>
    <s v="8.2"/>
    <s v="OK"/>
    <x v="1"/>
    <x v="2"/>
    <x v="6"/>
    <n v="5"/>
    <b v="1"/>
  </r>
  <r>
    <n v="309"/>
    <n v="19"/>
    <s v="Female"/>
    <s v="Undergraduate"/>
    <s v="USA"/>
    <n v="7"/>
    <s v="TikTok"/>
    <s v="Yes"/>
    <n v="5.0999999999999996"/>
    <n v="4"/>
    <s v="In Relationship"/>
    <n v="4"/>
    <n v="9"/>
    <s v="Tiktok"/>
    <n v="2"/>
    <s v="5.1"/>
    <s v="OK"/>
    <x v="0"/>
    <x v="0"/>
    <x v="2"/>
    <n v="4.9000000000000004"/>
    <b v="1"/>
  </r>
  <r>
    <n v="310"/>
    <n v="21"/>
    <s v="Male"/>
    <s v="Graduate"/>
    <s v="UK"/>
    <n v="4.7"/>
    <s v="Instagram"/>
    <s v="Yes"/>
    <n v="6.9"/>
    <n v="6"/>
    <s v="Single"/>
    <n v="3"/>
    <n v="7"/>
    <s v="Instagram"/>
    <n v="1"/>
    <s v="6.9"/>
    <s v="OK"/>
    <x v="0"/>
    <x v="0"/>
    <x v="4"/>
    <n v="4.9000000000000004"/>
    <b v="1"/>
  </r>
  <r>
    <n v="311"/>
    <n v="20"/>
    <s v="Female"/>
    <s v="Undergraduate"/>
    <s v="Australia"/>
    <n v="4"/>
    <s v="Facebook"/>
    <s v="No"/>
    <n v="7.8"/>
    <n v="7"/>
    <s v="In Relationship"/>
    <n v="2"/>
    <n v="5"/>
    <s v="Facebook"/>
    <n v="0"/>
    <s v="7.8"/>
    <s v="OK"/>
    <x v="1"/>
    <x v="2"/>
    <x v="6"/>
    <n v="4.9000000000000004"/>
    <b v="1"/>
  </r>
  <r>
    <n v="312"/>
    <n v="22"/>
    <s v="Male"/>
    <s v="Graduate"/>
    <s v="Germany"/>
    <n v="3.2"/>
    <s v="Instagram"/>
    <s v="No"/>
    <n v="8.3000000000000007"/>
    <n v="8"/>
    <s v="Single"/>
    <n v="1"/>
    <n v="4"/>
    <s v="Instagram"/>
    <n v="1"/>
    <s v="8.3"/>
    <s v="OK"/>
    <x v="1"/>
    <x v="1"/>
    <x v="3"/>
    <n v="4.9000000000000004"/>
    <b v="1"/>
  </r>
  <r>
    <n v="313"/>
    <n v="19"/>
    <s v="Female"/>
    <s v="Undergraduate"/>
    <s v="Japan"/>
    <n v="2.7"/>
    <s v="LINE"/>
    <s v="No"/>
    <n v="8.9"/>
    <n v="8"/>
    <s v="Single"/>
    <n v="1"/>
    <n v="3"/>
    <s v="Line"/>
    <n v="0"/>
    <s v="8.9"/>
    <s v="OK"/>
    <x v="1"/>
    <x v="1"/>
    <x v="1"/>
    <n v="4.9000000000000004"/>
    <b v="1"/>
  </r>
  <r>
    <n v="314"/>
    <n v="21"/>
    <s v="Male"/>
    <s v="Graduate"/>
    <s v="Italy"/>
    <n v="4.9000000000000004"/>
    <s v="TikTok"/>
    <s v="Yes"/>
    <n v="7.2"/>
    <n v="5"/>
    <s v="In Relationship"/>
    <n v="3"/>
    <n v="8"/>
    <s v="Tiktok"/>
    <n v="2"/>
    <s v="7.2"/>
    <s v="OK"/>
    <x v="0"/>
    <x v="0"/>
    <x v="0"/>
    <n v="4.9000000000000004"/>
    <b v="1"/>
  </r>
  <r>
    <n v="315"/>
    <n v="20"/>
    <s v="Female"/>
    <s v="Undergraduate"/>
    <s v="South Korea"/>
    <n v="4.2"/>
    <s v="KakaoTalk"/>
    <s v="Yes"/>
    <n v="7.6"/>
    <n v="6"/>
    <s v="Single"/>
    <n v="3"/>
    <n v="6"/>
    <s v="Kakaotalk"/>
    <n v="1"/>
    <s v="7.6"/>
    <s v="OK"/>
    <x v="1"/>
    <x v="2"/>
    <x v="7"/>
    <n v="4.9000000000000004"/>
    <b v="1"/>
  </r>
  <r>
    <n v="316"/>
    <n v="22"/>
    <s v="Male"/>
    <s v="Graduate"/>
    <s v="Russia"/>
    <n v="3.7"/>
    <s v="VKontakte"/>
    <s v="No"/>
    <n v="8.3000000000000007"/>
    <n v="7"/>
    <s v="In Relationship"/>
    <n v="2"/>
    <n v="5"/>
    <s v="Vkontakte"/>
    <n v="2"/>
    <s v="8.3"/>
    <s v="OK"/>
    <x v="1"/>
    <x v="2"/>
    <x v="6"/>
    <n v="4.9000000000000004"/>
    <b v="1"/>
  </r>
  <r>
    <n v="317"/>
    <n v="19"/>
    <s v="Female"/>
    <s v="Undergraduate"/>
    <s v="USA"/>
    <n v="7.1"/>
    <s v="Instagram"/>
    <s v="Yes"/>
    <n v="5"/>
    <n v="4"/>
    <s v="Single"/>
    <n v="4"/>
    <n v="9"/>
    <s v="Instagram"/>
    <n v="1"/>
    <s v="5"/>
    <s v="OK"/>
    <x v="0"/>
    <x v="0"/>
    <x v="2"/>
    <n v="4.9000000000000004"/>
    <b v="1"/>
  </r>
  <r>
    <n v="318"/>
    <n v="21"/>
    <s v="Male"/>
    <s v="Graduate"/>
    <s v="UK"/>
    <n v="4.5999999999999996"/>
    <s v="Facebook"/>
    <s v="Yes"/>
    <n v="7"/>
    <n v="6"/>
    <s v="In Relationship"/>
    <n v="3"/>
    <n v="7"/>
    <s v="Facebook"/>
    <n v="0"/>
    <s v="7"/>
    <s v="OK"/>
    <x v="0"/>
    <x v="0"/>
    <x v="4"/>
    <n v="4.9000000000000004"/>
    <b v="1"/>
  </r>
  <r>
    <n v="319"/>
    <n v="20"/>
    <s v="Female"/>
    <s v="Undergraduate"/>
    <s v="Australia"/>
    <n v="3.9"/>
    <s v="Instagram"/>
    <s v="No"/>
    <n v="7.9"/>
    <n v="7"/>
    <s v="Single"/>
    <n v="2"/>
    <n v="5"/>
    <s v="Instagram"/>
    <n v="1"/>
    <s v="7.9"/>
    <s v="OK"/>
    <x v="1"/>
    <x v="2"/>
    <x v="6"/>
    <n v="4.9000000000000004"/>
    <b v="1"/>
  </r>
  <r>
    <n v="320"/>
    <n v="22"/>
    <s v="Male"/>
    <s v="Graduate"/>
    <s v="Germany"/>
    <n v="3.1"/>
    <s v="Facebook"/>
    <s v="No"/>
    <n v="8.4"/>
    <n v="8"/>
    <s v="In Relationship"/>
    <n v="1"/>
    <n v="4"/>
    <s v="Facebook"/>
    <n v="0"/>
    <s v="8.4"/>
    <s v="OK"/>
    <x v="1"/>
    <x v="1"/>
    <x v="3"/>
    <n v="4.9000000000000004"/>
    <b v="1"/>
  </r>
  <r>
    <n v="321"/>
    <n v="19"/>
    <s v="Female"/>
    <s v="Undergraduate"/>
    <s v="Spain"/>
    <n v="5.2"/>
    <s v="Instagram"/>
    <s v="Yes"/>
    <n v="6.8"/>
    <n v="6"/>
    <s v="Single"/>
    <n v="3"/>
    <n v="7"/>
    <s v="Instagram"/>
    <n v="1"/>
    <s v="6.8"/>
    <s v="OK"/>
    <x v="0"/>
    <x v="0"/>
    <x v="4"/>
    <n v="4.9000000000000004"/>
    <b v="1"/>
  </r>
  <r>
    <n v="322"/>
    <n v="21"/>
    <s v="Male"/>
    <s v="Graduate"/>
    <s v="Denmark"/>
    <n v="4.0999999999999996"/>
    <s v="Facebook"/>
    <s v="No"/>
    <n v="7.8"/>
    <n v="8"/>
    <s v="In Relationship"/>
    <n v="2"/>
    <n v="4"/>
    <s v="Facebook"/>
    <n v="0"/>
    <s v="7.8"/>
    <s v="OK"/>
    <x v="1"/>
    <x v="1"/>
    <x v="3"/>
    <n v="4.9000000000000004"/>
    <b v="1"/>
  </r>
  <r>
    <n v="323"/>
    <n v="20"/>
    <s v="Female"/>
    <s v="Undergraduate"/>
    <s v="Ireland"/>
    <n v="5"/>
    <s v="Instagram"/>
    <s v="Yes"/>
    <n v="7"/>
    <n v="7"/>
    <s v="Single"/>
    <n v="3"/>
    <n v="6"/>
    <s v="Instagram"/>
    <n v="1"/>
    <s v="7"/>
    <s v="OK"/>
    <x v="1"/>
    <x v="2"/>
    <x v="7"/>
    <n v="4.9000000000000004"/>
    <b v="1"/>
  </r>
  <r>
    <n v="324"/>
    <n v="22"/>
    <s v="Male"/>
    <s v="Graduate"/>
    <s v="India"/>
    <n v="5.8"/>
    <s v="WhatsApp"/>
    <s v="Yes"/>
    <n v="6.5"/>
    <n v="5"/>
    <s v="In Relationship"/>
    <n v="4"/>
    <n v="8"/>
    <s v="Whatsapp"/>
    <n v="1"/>
    <s v="6.5"/>
    <s v="OK"/>
    <x v="0"/>
    <x v="0"/>
    <x v="0"/>
    <n v="4.9000000000000004"/>
    <b v="1"/>
  </r>
  <r>
    <n v="325"/>
    <n v="19"/>
    <s v="Female"/>
    <s v="Undergraduate"/>
    <s v="Switzerland"/>
    <n v="4"/>
    <s v="Instagram"/>
    <s v="No"/>
    <n v="7.9"/>
    <n v="8"/>
    <s v="Single"/>
    <n v="2"/>
    <n v="4"/>
    <s v="Instagram"/>
    <n v="1"/>
    <s v="7.9"/>
    <s v="OK"/>
    <x v="1"/>
    <x v="1"/>
    <x v="3"/>
    <n v="4.9000000000000004"/>
    <b v="1"/>
  </r>
  <r>
    <n v="326"/>
    <n v="21"/>
    <s v="Male"/>
    <s v="Graduate"/>
    <s v="Turkey"/>
    <n v="5.5"/>
    <s v="Instagram"/>
    <s v="Yes"/>
    <n v="6.7"/>
    <n v="6"/>
    <s v="Single"/>
    <n v="3"/>
    <n v="7"/>
    <s v="Instagram"/>
    <n v="1"/>
    <s v="6.7"/>
    <s v="OK"/>
    <x v="0"/>
    <x v="0"/>
    <x v="4"/>
    <n v="4.9000000000000004"/>
    <b v="1"/>
  </r>
  <r>
    <n v="327"/>
    <n v="20"/>
    <s v="Female"/>
    <s v="Undergraduate"/>
    <s v="USA"/>
    <n v="6.8"/>
    <s v="TikTok"/>
    <s v="Yes"/>
    <n v="5.5"/>
    <n v="5"/>
    <s v="In Relationship"/>
    <n v="4"/>
    <n v="9"/>
    <s v="Tiktok"/>
    <n v="2"/>
    <s v="5.5"/>
    <s v="OK"/>
    <x v="0"/>
    <x v="0"/>
    <x v="2"/>
    <n v="4.9000000000000004"/>
    <b v="1"/>
  </r>
  <r>
    <n v="328"/>
    <n v="22"/>
    <s v="Male"/>
    <s v="Graduate"/>
    <s v="Mexico"/>
    <n v="5.6"/>
    <s v="WhatsApp"/>
    <s v="Yes"/>
    <n v="6.6"/>
    <n v="6"/>
    <s v="Single"/>
    <n v="3"/>
    <n v="7"/>
    <s v="Whatsapp"/>
    <n v="1"/>
    <s v="6.6"/>
    <s v="OK"/>
    <x v="0"/>
    <x v="0"/>
    <x v="4"/>
    <n v="4.9000000000000004"/>
    <b v="1"/>
  </r>
  <r>
    <n v="329"/>
    <n v="19"/>
    <s v="Female"/>
    <s v="Undergraduate"/>
    <s v="France"/>
    <n v="4.5"/>
    <s v="Instagram"/>
    <s v="No"/>
    <n v="7.5"/>
    <n v="7"/>
    <s v="In Relationship"/>
    <n v="2"/>
    <n v="5"/>
    <s v="Instagram"/>
    <n v="1"/>
    <s v="7.5"/>
    <s v="OK"/>
    <x v="1"/>
    <x v="2"/>
    <x v="6"/>
    <n v="4.8"/>
    <b v="1"/>
  </r>
  <r>
    <n v="330"/>
    <n v="21"/>
    <s v="Male"/>
    <s v="Graduate"/>
    <s v="Canada"/>
    <n v="5.3"/>
    <s v="Instagram"/>
    <s v="Yes"/>
    <n v="6.9"/>
    <n v="6"/>
    <s v="Single"/>
    <n v="3"/>
    <n v="7"/>
    <s v="Instagram"/>
    <n v="1"/>
    <s v="6.9"/>
    <s v="OK"/>
    <x v="0"/>
    <x v="0"/>
    <x v="4"/>
    <n v="4.8"/>
    <b v="1"/>
  </r>
  <r>
    <n v="331"/>
    <n v="20"/>
    <s v="Female"/>
    <s v="Undergraduate"/>
    <s v="Spain"/>
    <n v="5.0999999999999996"/>
    <s v="TikTok"/>
    <s v="Yes"/>
    <n v="6.7"/>
    <n v="6"/>
    <s v="Single"/>
    <n v="3"/>
    <n v="7"/>
    <s v="Tiktok"/>
    <n v="2"/>
    <s v="6.7"/>
    <s v="OK"/>
    <x v="0"/>
    <x v="0"/>
    <x v="4"/>
    <n v="4.8"/>
    <b v="1"/>
  </r>
  <r>
    <n v="332"/>
    <n v="22"/>
    <s v="Male"/>
    <s v="Graduate"/>
    <s v="Denmark"/>
    <n v="3.9"/>
    <s v="Facebook"/>
    <s v="No"/>
    <n v="7.9"/>
    <n v="8"/>
    <s v="In Relationship"/>
    <n v="2"/>
    <n v="4"/>
    <s v="Facebook"/>
    <n v="0"/>
    <s v="7.9"/>
    <s v="OK"/>
    <x v="1"/>
    <x v="1"/>
    <x v="3"/>
    <n v="4.8"/>
    <b v="1"/>
  </r>
  <r>
    <n v="333"/>
    <n v="19"/>
    <s v="Female"/>
    <s v="Undergraduate"/>
    <s v="Ireland"/>
    <n v="4.8"/>
    <s v="Instagram"/>
    <s v="Yes"/>
    <n v="7.1"/>
    <n v="7"/>
    <s v="Single"/>
    <n v="3"/>
    <n v="6"/>
    <s v="Instagram"/>
    <n v="1"/>
    <s v="7.1"/>
    <s v="OK"/>
    <x v="1"/>
    <x v="2"/>
    <x v="7"/>
    <n v="4.8"/>
    <b v="1"/>
  </r>
  <r>
    <n v="334"/>
    <n v="21"/>
    <s v="Male"/>
    <s v="Graduate"/>
    <s v="India"/>
    <n v="5.9"/>
    <s v="WhatsApp"/>
    <s v="Yes"/>
    <n v="6.4"/>
    <n v="5"/>
    <s v="In Relationship"/>
    <n v="4"/>
    <n v="8"/>
    <s v="Whatsapp"/>
    <n v="1"/>
    <s v="6.4"/>
    <s v="OK"/>
    <x v="0"/>
    <x v="0"/>
    <x v="0"/>
    <n v="4.8"/>
    <b v="1"/>
  </r>
  <r>
    <n v="335"/>
    <n v="20"/>
    <s v="Female"/>
    <s v="Undergraduate"/>
    <s v="Switzerland"/>
    <n v="3.8"/>
    <s v="Instagram"/>
    <s v="No"/>
    <n v="8"/>
    <n v="8"/>
    <s v="Single"/>
    <n v="2"/>
    <n v="4"/>
    <s v="Instagram"/>
    <n v="1"/>
    <s v="8"/>
    <s v="OK"/>
    <x v="1"/>
    <x v="1"/>
    <x v="3"/>
    <n v="4.8"/>
    <b v="1"/>
  </r>
  <r>
    <n v="336"/>
    <n v="22"/>
    <s v="Male"/>
    <s v="Graduate"/>
    <s v="Turkey"/>
    <n v="5.4"/>
    <s v="TikTok"/>
    <s v="Yes"/>
    <n v="6.8"/>
    <n v="6"/>
    <s v="Single"/>
    <n v="3"/>
    <n v="7"/>
    <s v="Tiktok"/>
    <n v="2"/>
    <s v="6.8"/>
    <s v="OK"/>
    <x v="0"/>
    <x v="0"/>
    <x v="4"/>
    <n v="4.8"/>
    <b v="1"/>
  </r>
  <r>
    <n v="337"/>
    <n v="19"/>
    <s v="Female"/>
    <s v="Undergraduate"/>
    <s v="USA"/>
    <n v="6.9"/>
    <s v="Instagram"/>
    <s v="Yes"/>
    <n v="5.4"/>
    <n v="5"/>
    <s v="In Relationship"/>
    <n v="4"/>
    <n v="9"/>
    <s v="Instagram"/>
    <n v="1"/>
    <s v="5.4"/>
    <s v="OK"/>
    <x v="0"/>
    <x v="0"/>
    <x v="2"/>
    <n v="4.8"/>
    <b v="1"/>
  </r>
  <r>
    <n v="338"/>
    <n v="21"/>
    <s v="Male"/>
    <s v="Graduate"/>
    <s v="Mexico"/>
    <n v="5.7"/>
    <s v="WhatsApp"/>
    <s v="Yes"/>
    <n v="6.5"/>
    <n v="6"/>
    <s v="Single"/>
    <n v="3"/>
    <n v="7"/>
    <s v="Whatsapp"/>
    <n v="1"/>
    <s v="6.5"/>
    <s v="OK"/>
    <x v="0"/>
    <x v="0"/>
    <x v="4"/>
    <n v="4.8"/>
    <b v="1"/>
  </r>
  <r>
    <n v="339"/>
    <n v="20"/>
    <s v="Female"/>
    <s v="Undergraduate"/>
    <s v="France"/>
    <n v="4.4000000000000004"/>
    <s v="Instagram"/>
    <s v="No"/>
    <n v="7.6"/>
    <n v="7"/>
    <s v="In Relationship"/>
    <n v="2"/>
    <n v="5"/>
    <s v="Instagram"/>
    <n v="1"/>
    <s v="7.6"/>
    <s v="OK"/>
    <x v="1"/>
    <x v="2"/>
    <x v="6"/>
    <n v="4.8"/>
    <b v="1"/>
  </r>
  <r>
    <n v="340"/>
    <n v="22"/>
    <s v="Male"/>
    <s v="Graduate"/>
    <s v="Canada"/>
    <n v="5.2"/>
    <s v="TikTok"/>
    <s v="Yes"/>
    <n v="7"/>
    <n v="6"/>
    <s v="Single"/>
    <n v="3"/>
    <n v="7"/>
    <s v="Tiktok"/>
    <n v="2"/>
    <s v="7"/>
    <s v="OK"/>
    <x v="0"/>
    <x v="0"/>
    <x v="4"/>
    <n v="4.8"/>
    <b v="1"/>
  </r>
  <r>
    <n v="341"/>
    <n v="19"/>
    <s v="Female"/>
    <s v="Undergraduate"/>
    <s v="Spain"/>
    <n v="5"/>
    <s v="Instagram"/>
    <s v="Yes"/>
    <n v="6.9"/>
    <n v="6"/>
    <s v="Single"/>
    <n v="3"/>
    <n v="7"/>
    <s v="Instagram"/>
    <n v="1"/>
    <s v="6.9"/>
    <s v="OK"/>
    <x v="0"/>
    <x v="0"/>
    <x v="4"/>
    <n v="4.8"/>
    <b v="1"/>
  </r>
  <r>
    <n v="342"/>
    <n v="21"/>
    <s v="Male"/>
    <s v="Graduate"/>
    <s v="Denmark"/>
    <n v="3.8"/>
    <s v="Facebook"/>
    <s v="No"/>
    <n v="8"/>
    <n v="8"/>
    <s v="In Relationship"/>
    <n v="2"/>
    <n v="4"/>
    <s v="Facebook"/>
    <n v="0"/>
    <s v="8"/>
    <s v="OK"/>
    <x v="1"/>
    <x v="1"/>
    <x v="3"/>
    <n v="4.8"/>
    <b v="1"/>
  </r>
  <r>
    <n v="343"/>
    <n v="20"/>
    <s v="Female"/>
    <s v="Undergraduate"/>
    <s v="Ireland"/>
    <n v="4.7"/>
    <s v="TikTok"/>
    <s v="Yes"/>
    <n v="7.2"/>
    <n v="7"/>
    <s v="Single"/>
    <n v="3"/>
    <n v="6"/>
    <s v="Tiktok"/>
    <n v="2"/>
    <s v="7.2"/>
    <s v="OK"/>
    <x v="1"/>
    <x v="2"/>
    <x v="7"/>
    <n v="4.8"/>
    <b v="1"/>
  </r>
  <r>
    <n v="344"/>
    <n v="22"/>
    <s v="Male"/>
    <s v="Graduate"/>
    <s v="India"/>
    <n v="6"/>
    <s v="WhatsApp"/>
    <s v="Yes"/>
    <n v="6.3"/>
    <n v="5"/>
    <s v="In Relationship"/>
    <n v="4"/>
    <n v="8"/>
    <s v="Whatsapp"/>
    <n v="1"/>
    <s v="6.3"/>
    <s v="OK"/>
    <x v="0"/>
    <x v="0"/>
    <x v="0"/>
    <n v="4.8"/>
    <b v="1"/>
  </r>
  <r>
    <n v="345"/>
    <n v="19"/>
    <s v="Female"/>
    <s v="Undergraduate"/>
    <s v="Switzerland"/>
    <n v="3.7"/>
    <s v="Instagram"/>
    <s v="No"/>
    <n v="8.1"/>
    <n v="8"/>
    <s v="Single"/>
    <n v="2"/>
    <n v="4"/>
    <s v="Instagram"/>
    <n v="1"/>
    <s v="8.1"/>
    <s v="OK"/>
    <x v="1"/>
    <x v="1"/>
    <x v="3"/>
    <n v="4.8"/>
    <b v="1"/>
  </r>
  <r>
    <n v="346"/>
    <n v="21"/>
    <s v="Male"/>
    <s v="Graduate"/>
    <s v="Turkey"/>
    <n v="5.3"/>
    <s v="Instagram"/>
    <s v="Yes"/>
    <n v="6.9"/>
    <n v="6"/>
    <s v="Single"/>
    <n v="3"/>
    <n v="7"/>
    <s v="Instagram"/>
    <n v="1"/>
    <s v="6.9"/>
    <s v="OK"/>
    <x v="0"/>
    <x v="0"/>
    <x v="4"/>
    <n v="4.8"/>
    <b v="1"/>
  </r>
  <r>
    <n v="347"/>
    <n v="20"/>
    <s v="Female"/>
    <s v="Undergraduate"/>
    <s v="USA"/>
    <n v="7"/>
    <s v="TikTok"/>
    <s v="Yes"/>
    <n v="5.3"/>
    <n v="5"/>
    <s v="In Relationship"/>
    <n v="4"/>
    <n v="9"/>
    <s v="Tiktok"/>
    <n v="2"/>
    <s v="5.3"/>
    <s v="OK"/>
    <x v="0"/>
    <x v="0"/>
    <x v="2"/>
    <n v="4.8"/>
    <b v="1"/>
  </r>
  <r>
    <n v="348"/>
    <n v="22"/>
    <s v="Male"/>
    <s v="Graduate"/>
    <s v="Mexico"/>
    <n v="5.8"/>
    <s v="WhatsApp"/>
    <s v="Yes"/>
    <n v="6.4"/>
    <n v="6"/>
    <s v="Single"/>
    <n v="3"/>
    <n v="7"/>
    <s v="Whatsapp"/>
    <n v="1"/>
    <s v="6.4"/>
    <s v="OK"/>
    <x v="0"/>
    <x v="0"/>
    <x v="4"/>
    <n v="4.8"/>
    <b v="1"/>
  </r>
  <r>
    <n v="349"/>
    <n v="19"/>
    <s v="Female"/>
    <s v="Undergraduate"/>
    <s v="France"/>
    <n v="4.3"/>
    <s v="Instagram"/>
    <s v="No"/>
    <n v="7.7"/>
    <n v="7"/>
    <s v="In Relationship"/>
    <n v="2"/>
    <n v="5"/>
    <s v="Instagram"/>
    <n v="1"/>
    <s v="7.7"/>
    <s v="OK"/>
    <x v="1"/>
    <x v="2"/>
    <x v="6"/>
    <n v="4.8"/>
    <b v="1"/>
  </r>
  <r>
    <n v="350"/>
    <n v="21"/>
    <s v="Male"/>
    <s v="Graduate"/>
    <s v="Canada"/>
    <n v="5.0999999999999996"/>
    <s v="Instagram"/>
    <s v="Yes"/>
    <n v="7.1"/>
    <n v="6"/>
    <s v="Single"/>
    <n v="3"/>
    <n v="7"/>
    <s v="Instagram"/>
    <n v="1"/>
    <s v="7.1"/>
    <s v="OK"/>
    <x v="0"/>
    <x v="0"/>
    <x v="4"/>
    <n v="4.8"/>
    <b v="1"/>
  </r>
  <r>
    <n v="351"/>
    <n v="20"/>
    <s v="Female"/>
    <s v="Undergraduate"/>
    <s v="Spain"/>
    <n v="4.9000000000000004"/>
    <s v="TikTok"/>
    <s v="Yes"/>
    <n v="7"/>
    <n v="6"/>
    <s v="Single"/>
    <n v="3"/>
    <n v="7"/>
    <s v="Tiktok"/>
    <n v="2"/>
    <s v="7"/>
    <s v="OK"/>
    <x v="0"/>
    <x v="0"/>
    <x v="4"/>
    <n v="4.8"/>
    <b v="1"/>
  </r>
  <r>
    <n v="352"/>
    <n v="22"/>
    <s v="Male"/>
    <s v="Graduate"/>
    <s v="Denmark"/>
    <n v="3.7"/>
    <s v="Facebook"/>
    <s v="No"/>
    <n v="8.1"/>
    <n v="8"/>
    <s v="In Relationship"/>
    <n v="2"/>
    <n v="4"/>
    <s v="Facebook"/>
    <n v="0"/>
    <s v="8.1"/>
    <s v="OK"/>
    <x v="1"/>
    <x v="1"/>
    <x v="3"/>
    <n v="4.8"/>
    <b v="1"/>
  </r>
  <r>
    <n v="353"/>
    <n v="19"/>
    <s v="Female"/>
    <s v="Undergraduate"/>
    <s v="Ireland"/>
    <n v="4.5999999999999996"/>
    <s v="Instagram"/>
    <s v="Yes"/>
    <n v="7.3"/>
    <n v="7"/>
    <s v="Single"/>
    <n v="3"/>
    <n v="6"/>
    <s v="Instagram"/>
    <n v="1"/>
    <s v="7.3"/>
    <s v="OK"/>
    <x v="1"/>
    <x v="2"/>
    <x v="7"/>
    <n v="4.8"/>
    <b v="1"/>
  </r>
  <r>
    <n v="354"/>
    <n v="21"/>
    <s v="Male"/>
    <s v="Graduate"/>
    <s v="India"/>
    <n v="6.1"/>
    <s v="WhatsApp"/>
    <s v="Yes"/>
    <n v="6.2"/>
    <n v="5"/>
    <s v="In Relationship"/>
    <n v="4"/>
    <n v="8"/>
    <s v="Whatsapp"/>
    <n v="1"/>
    <s v="6.2"/>
    <s v="OK"/>
    <x v="0"/>
    <x v="0"/>
    <x v="0"/>
    <n v="4.8"/>
    <b v="1"/>
  </r>
  <r>
    <n v="355"/>
    <n v="20"/>
    <s v="Female"/>
    <s v="Undergraduate"/>
    <s v="Switzerland"/>
    <n v="3.6"/>
    <s v="Instagram"/>
    <s v="No"/>
    <n v="8.1999999999999993"/>
    <n v="8"/>
    <s v="Single"/>
    <n v="2"/>
    <n v="4"/>
    <s v="Instagram"/>
    <n v="1"/>
    <s v="8.2"/>
    <s v="OK"/>
    <x v="1"/>
    <x v="1"/>
    <x v="3"/>
    <n v="4.8"/>
    <b v="1"/>
  </r>
  <r>
    <n v="356"/>
    <n v="22"/>
    <s v="Male"/>
    <s v="Graduate"/>
    <s v="Turkey"/>
    <n v="5.2"/>
    <s v="TikTok"/>
    <s v="Yes"/>
    <n v="7"/>
    <n v="6"/>
    <s v="Single"/>
    <n v="3"/>
    <n v="7"/>
    <s v="Tiktok"/>
    <n v="2"/>
    <s v="7"/>
    <s v="OK"/>
    <x v="0"/>
    <x v="0"/>
    <x v="4"/>
    <n v="4.8"/>
    <b v="1"/>
  </r>
  <r>
    <n v="357"/>
    <n v="19"/>
    <s v="Female"/>
    <s v="Undergraduate"/>
    <s v="USA"/>
    <n v="7.1"/>
    <s v="Instagram"/>
    <s v="Yes"/>
    <n v="5.2"/>
    <n v="5"/>
    <s v="In Relationship"/>
    <n v="4"/>
    <n v="9"/>
    <s v="Instagram"/>
    <n v="1"/>
    <s v="5.2"/>
    <s v="OK"/>
    <x v="0"/>
    <x v="0"/>
    <x v="2"/>
    <n v="4.8"/>
    <b v="1"/>
  </r>
  <r>
    <n v="358"/>
    <n v="21"/>
    <s v="Male"/>
    <s v="Graduate"/>
    <s v="Mexico"/>
    <n v="5.9"/>
    <s v="WhatsApp"/>
    <s v="Yes"/>
    <n v="6.3"/>
    <n v="6"/>
    <s v="Single"/>
    <n v="3"/>
    <n v="7"/>
    <s v="Whatsapp"/>
    <n v="1"/>
    <s v="6.3"/>
    <s v="OK"/>
    <x v="0"/>
    <x v="0"/>
    <x v="4"/>
    <n v="4.7"/>
    <b v="1"/>
  </r>
  <r>
    <n v="359"/>
    <n v="20"/>
    <s v="Female"/>
    <s v="Undergraduate"/>
    <s v="France"/>
    <n v="4.2"/>
    <s v="Instagram"/>
    <s v="No"/>
    <n v="7.8"/>
    <n v="7"/>
    <s v="In Relationship"/>
    <n v="2"/>
    <n v="5"/>
    <s v="Instagram"/>
    <n v="1"/>
    <s v="7.8"/>
    <s v="OK"/>
    <x v="1"/>
    <x v="2"/>
    <x v="6"/>
    <n v="4.7"/>
    <b v="1"/>
  </r>
  <r>
    <n v="360"/>
    <n v="22"/>
    <s v="Male"/>
    <s v="Graduate"/>
    <s v="Canada"/>
    <n v="5"/>
    <s v="TikTok"/>
    <s v="Yes"/>
    <n v="7.2"/>
    <n v="6"/>
    <s v="Single"/>
    <n v="3"/>
    <n v="7"/>
    <s v="Tiktok"/>
    <n v="2"/>
    <s v="7.2"/>
    <s v="OK"/>
    <x v="0"/>
    <x v="0"/>
    <x v="4"/>
    <n v="4.7"/>
    <b v="1"/>
  </r>
  <r>
    <n v="361"/>
    <n v="19"/>
    <s v="Female"/>
    <s v="Undergraduate"/>
    <s v="Spain"/>
    <n v="4.8"/>
    <s v="Instagram"/>
    <s v="Yes"/>
    <n v="7.1"/>
    <n v="6"/>
    <s v="Single"/>
    <n v="3"/>
    <n v="7"/>
    <s v="Instagram"/>
    <n v="1"/>
    <s v="7.1"/>
    <s v="OK"/>
    <x v="0"/>
    <x v="0"/>
    <x v="4"/>
    <n v="4.7"/>
    <b v="1"/>
  </r>
  <r>
    <n v="362"/>
    <n v="21"/>
    <s v="Male"/>
    <s v="Graduate"/>
    <s v="Denmark"/>
    <n v="3.6"/>
    <s v="Facebook"/>
    <s v="No"/>
    <n v="8.1999999999999993"/>
    <n v="8"/>
    <s v="In Relationship"/>
    <n v="2"/>
    <n v="4"/>
    <s v="Facebook"/>
    <n v="0"/>
    <s v="8.2"/>
    <s v="OK"/>
    <x v="1"/>
    <x v="1"/>
    <x v="3"/>
    <n v="4.7"/>
    <b v="1"/>
  </r>
  <r>
    <n v="363"/>
    <n v="20"/>
    <s v="Female"/>
    <s v="Undergraduate"/>
    <s v="Ireland"/>
    <n v="4.5"/>
    <s v="TikTok"/>
    <s v="Yes"/>
    <n v="7.4"/>
    <n v="7"/>
    <s v="Single"/>
    <n v="3"/>
    <n v="6"/>
    <s v="Tiktok"/>
    <n v="2"/>
    <s v="7.4"/>
    <s v="OK"/>
    <x v="1"/>
    <x v="2"/>
    <x v="7"/>
    <n v="4.7"/>
    <b v="1"/>
  </r>
  <r>
    <n v="364"/>
    <n v="22"/>
    <s v="Male"/>
    <s v="Graduate"/>
    <s v="India"/>
    <n v="6.2"/>
    <s v="WhatsApp"/>
    <s v="Yes"/>
    <n v="6.1"/>
    <n v="5"/>
    <s v="In Relationship"/>
    <n v="4"/>
    <n v="8"/>
    <s v="Whatsapp"/>
    <n v="1"/>
    <s v="6.1"/>
    <s v="OK"/>
    <x v="0"/>
    <x v="0"/>
    <x v="0"/>
    <n v="4.7"/>
    <b v="1"/>
  </r>
  <r>
    <n v="365"/>
    <n v="19"/>
    <s v="Female"/>
    <s v="Undergraduate"/>
    <s v="Switzerland"/>
    <n v="3.5"/>
    <s v="Instagram"/>
    <s v="No"/>
    <n v="8.3000000000000007"/>
    <n v="8"/>
    <s v="Single"/>
    <n v="2"/>
    <n v="4"/>
    <s v="Instagram"/>
    <n v="1"/>
    <s v="8.3"/>
    <s v="OK"/>
    <x v="1"/>
    <x v="1"/>
    <x v="3"/>
    <n v="4.7"/>
    <b v="1"/>
  </r>
  <r>
    <n v="366"/>
    <n v="21"/>
    <s v="Male"/>
    <s v="Graduate"/>
    <s v="Turkey"/>
    <n v="5.0999999999999996"/>
    <s v="Instagram"/>
    <s v="Yes"/>
    <n v="7.1"/>
    <n v="6"/>
    <s v="Single"/>
    <n v="3"/>
    <n v="7"/>
    <s v="Instagram"/>
    <n v="1"/>
    <s v="7.1"/>
    <s v="OK"/>
    <x v="0"/>
    <x v="0"/>
    <x v="4"/>
    <n v="4.7"/>
    <b v="1"/>
  </r>
  <r>
    <n v="367"/>
    <n v="20"/>
    <s v="Female"/>
    <s v="Undergraduate"/>
    <s v="USA"/>
    <n v="7.2"/>
    <s v="TikTok"/>
    <s v="Yes"/>
    <n v="5.0999999999999996"/>
    <n v="5"/>
    <s v="In Relationship"/>
    <n v="4"/>
    <n v="9"/>
    <s v="Tiktok"/>
    <n v="2"/>
    <s v="5.1"/>
    <s v="OK"/>
    <x v="0"/>
    <x v="0"/>
    <x v="2"/>
    <n v="4.7"/>
    <b v="1"/>
  </r>
  <r>
    <n v="368"/>
    <n v="22"/>
    <s v="Male"/>
    <s v="Graduate"/>
    <s v="Mexico"/>
    <n v="6"/>
    <s v="WhatsApp"/>
    <s v="Yes"/>
    <n v="6.2"/>
    <n v="6"/>
    <s v="Single"/>
    <n v="3"/>
    <n v="7"/>
    <s v="Whatsapp"/>
    <n v="1"/>
    <s v="6.2"/>
    <s v="OK"/>
    <x v="0"/>
    <x v="0"/>
    <x v="4"/>
    <n v="4.7"/>
    <b v="1"/>
  </r>
  <r>
    <n v="369"/>
    <n v="19"/>
    <s v="Female"/>
    <s v="Undergraduate"/>
    <s v="France"/>
    <n v="4.0999999999999996"/>
    <s v="Instagram"/>
    <s v="No"/>
    <n v="7.9"/>
    <n v="7"/>
    <s v="In Relationship"/>
    <n v="2"/>
    <n v="5"/>
    <s v="Instagram"/>
    <n v="1"/>
    <s v="7.9"/>
    <s v="OK"/>
    <x v="1"/>
    <x v="2"/>
    <x v="6"/>
    <n v="4.7"/>
    <b v="1"/>
  </r>
  <r>
    <n v="370"/>
    <n v="21"/>
    <s v="Male"/>
    <s v="Graduate"/>
    <s v="Canada"/>
    <n v="4.9000000000000004"/>
    <s v="Instagram"/>
    <s v="Yes"/>
    <n v="7.3"/>
    <n v="6"/>
    <s v="Single"/>
    <n v="3"/>
    <n v="7"/>
    <s v="Instagram"/>
    <n v="1"/>
    <s v="7.3"/>
    <s v="OK"/>
    <x v="0"/>
    <x v="0"/>
    <x v="4"/>
    <n v="4.7"/>
    <b v="1"/>
  </r>
  <r>
    <n v="371"/>
    <n v="20"/>
    <s v="Female"/>
    <s v="Undergraduate"/>
    <s v="Spain"/>
    <n v="4.7"/>
    <s v="TikTok"/>
    <s v="Yes"/>
    <n v="7.2"/>
    <n v="6"/>
    <s v="Single"/>
    <n v="3"/>
    <n v="7"/>
    <s v="Tiktok"/>
    <n v="2"/>
    <s v="7.2"/>
    <s v="OK"/>
    <x v="0"/>
    <x v="0"/>
    <x v="4"/>
    <n v="4.7"/>
    <b v="1"/>
  </r>
  <r>
    <n v="372"/>
    <n v="22"/>
    <s v="Male"/>
    <s v="Graduate"/>
    <s v="Denmark"/>
    <n v="3.5"/>
    <s v="Facebook"/>
    <s v="No"/>
    <n v="8.3000000000000007"/>
    <n v="8"/>
    <s v="In Relationship"/>
    <n v="2"/>
    <n v="4"/>
    <s v="Facebook"/>
    <n v="0"/>
    <s v="8.3"/>
    <s v="OK"/>
    <x v="1"/>
    <x v="1"/>
    <x v="3"/>
    <n v="4.7"/>
    <b v="1"/>
  </r>
  <r>
    <n v="373"/>
    <n v="19"/>
    <s v="Female"/>
    <s v="Undergraduate"/>
    <s v="Ireland"/>
    <n v="4.4000000000000004"/>
    <s v="Instagram"/>
    <s v="Yes"/>
    <n v="7.5"/>
    <n v="7"/>
    <s v="Single"/>
    <n v="3"/>
    <n v="6"/>
    <s v="Instagram"/>
    <n v="1"/>
    <s v="7.5"/>
    <s v="OK"/>
    <x v="1"/>
    <x v="2"/>
    <x v="7"/>
    <n v="4.7"/>
    <b v="1"/>
  </r>
  <r>
    <n v="374"/>
    <n v="21"/>
    <s v="Male"/>
    <s v="Graduate"/>
    <s v="India"/>
    <n v="6.3"/>
    <s v="WhatsApp"/>
    <s v="Yes"/>
    <n v="6"/>
    <n v="5"/>
    <s v="In Relationship"/>
    <n v="4"/>
    <n v="8"/>
    <s v="Whatsapp"/>
    <n v="1"/>
    <s v="6"/>
    <s v="OK"/>
    <x v="0"/>
    <x v="0"/>
    <x v="0"/>
    <n v="4.7"/>
    <b v="1"/>
  </r>
  <r>
    <n v="375"/>
    <n v="20"/>
    <s v="Female"/>
    <s v="Undergraduate"/>
    <s v="Switzerland"/>
    <n v="3.4"/>
    <s v="Instagram"/>
    <s v="No"/>
    <n v="8.4"/>
    <n v="8"/>
    <s v="Single"/>
    <n v="2"/>
    <n v="4"/>
    <s v="Instagram"/>
    <n v="1"/>
    <s v="8.4"/>
    <s v="OK"/>
    <x v="1"/>
    <x v="1"/>
    <x v="3"/>
    <n v="4.7"/>
    <b v="1"/>
  </r>
  <r>
    <n v="376"/>
    <n v="22"/>
    <s v="Male"/>
    <s v="Graduate"/>
    <s v="Turkey"/>
    <n v="5"/>
    <s v="TikTok"/>
    <s v="Yes"/>
    <n v="7.2"/>
    <n v="6"/>
    <s v="Single"/>
    <n v="3"/>
    <n v="7"/>
    <s v="Tiktok"/>
    <n v="2"/>
    <s v="7.2"/>
    <s v="OK"/>
    <x v="0"/>
    <x v="0"/>
    <x v="4"/>
    <n v="4.7"/>
    <b v="1"/>
  </r>
  <r>
    <n v="377"/>
    <n v="19"/>
    <s v="Female"/>
    <s v="Undergraduate"/>
    <s v="USA"/>
    <n v="7.3"/>
    <s v="Instagram"/>
    <s v="Yes"/>
    <n v="5"/>
    <n v="5"/>
    <s v="In Relationship"/>
    <n v="4"/>
    <n v="9"/>
    <s v="Instagram"/>
    <n v="1"/>
    <s v="5"/>
    <s v="OK"/>
    <x v="0"/>
    <x v="0"/>
    <x v="2"/>
    <n v="4.7"/>
    <b v="1"/>
  </r>
  <r>
    <n v="378"/>
    <n v="21"/>
    <s v="Male"/>
    <s v="Graduate"/>
    <s v="Mexico"/>
    <n v="6.1"/>
    <s v="WhatsApp"/>
    <s v="Yes"/>
    <n v="6.1"/>
    <n v="6"/>
    <s v="Single"/>
    <n v="3"/>
    <n v="7"/>
    <s v="Whatsapp"/>
    <n v="1"/>
    <s v="6.1"/>
    <s v="OK"/>
    <x v="0"/>
    <x v="0"/>
    <x v="4"/>
    <n v="4.7"/>
    <b v="1"/>
  </r>
  <r>
    <n v="379"/>
    <n v="20"/>
    <s v="Female"/>
    <s v="Undergraduate"/>
    <s v="France"/>
    <n v="4"/>
    <s v="Instagram"/>
    <s v="No"/>
    <n v="8"/>
    <n v="7"/>
    <s v="In Relationship"/>
    <n v="2"/>
    <n v="5"/>
    <s v="Instagram"/>
    <n v="1"/>
    <s v="8"/>
    <s v="OK"/>
    <x v="1"/>
    <x v="2"/>
    <x v="6"/>
    <n v="4.7"/>
    <b v="1"/>
  </r>
  <r>
    <n v="380"/>
    <n v="22"/>
    <s v="Male"/>
    <s v="Graduate"/>
    <s v="Canada"/>
    <n v="4.8"/>
    <s v="TikTok"/>
    <s v="Yes"/>
    <n v="7.4"/>
    <n v="6"/>
    <s v="Single"/>
    <n v="3"/>
    <n v="7"/>
    <s v="Tiktok"/>
    <n v="2"/>
    <s v="7.4"/>
    <s v="OK"/>
    <x v="0"/>
    <x v="0"/>
    <x v="4"/>
    <n v="4.7"/>
    <b v="1"/>
  </r>
  <r>
    <n v="381"/>
    <n v="19"/>
    <s v="Female"/>
    <s v="Undergraduate"/>
    <s v="Spain"/>
    <n v="4.5999999999999996"/>
    <s v="Instagram"/>
    <s v="Yes"/>
    <n v="7.3"/>
    <n v="6"/>
    <s v="Single"/>
    <n v="3"/>
    <n v="7"/>
    <s v="Instagram"/>
    <n v="1"/>
    <s v="7.3"/>
    <s v="OK"/>
    <x v="0"/>
    <x v="0"/>
    <x v="4"/>
    <n v="4.7"/>
    <b v="1"/>
  </r>
  <r>
    <n v="382"/>
    <n v="21"/>
    <s v="Male"/>
    <s v="Graduate"/>
    <s v="Denmark"/>
    <n v="3.4"/>
    <s v="Facebook"/>
    <s v="No"/>
    <n v="8.4"/>
    <n v="8"/>
    <s v="In Relationship"/>
    <n v="2"/>
    <n v="4"/>
    <s v="Facebook"/>
    <n v="0"/>
    <s v="8.4"/>
    <s v="OK"/>
    <x v="1"/>
    <x v="1"/>
    <x v="3"/>
    <n v="4.7"/>
    <b v="1"/>
  </r>
  <r>
    <n v="383"/>
    <n v="20"/>
    <s v="Female"/>
    <s v="Undergraduate"/>
    <s v="Ireland"/>
    <n v="4.3"/>
    <s v="TikTok"/>
    <s v="Yes"/>
    <n v="7.6"/>
    <n v="7"/>
    <s v="Single"/>
    <n v="3"/>
    <n v="6"/>
    <s v="Tiktok"/>
    <n v="2"/>
    <s v="7.6"/>
    <s v="OK"/>
    <x v="1"/>
    <x v="2"/>
    <x v="7"/>
    <n v="4.7"/>
    <b v="1"/>
  </r>
  <r>
    <n v="384"/>
    <n v="22"/>
    <s v="Male"/>
    <s v="Graduate"/>
    <s v="India"/>
    <n v="6.4"/>
    <s v="WhatsApp"/>
    <s v="Yes"/>
    <n v="5.9"/>
    <n v="5"/>
    <s v="In Relationship"/>
    <n v="4"/>
    <n v="8"/>
    <s v="Whatsapp"/>
    <n v="1"/>
    <s v="5.9"/>
    <s v="OK"/>
    <x v="0"/>
    <x v="0"/>
    <x v="0"/>
    <n v="4.7"/>
    <b v="1"/>
  </r>
  <r>
    <n v="385"/>
    <n v="19"/>
    <s v="Female"/>
    <s v="Undergraduate"/>
    <s v="Switzerland"/>
    <n v="3.3"/>
    <s v="Instagram"/>
    <s v="No"/>
    <n v="8.5"/>
    <n v="8"/>
    <s v="Single"/>
    <n v="2"/>
    <n v="4"/>
    <s v="Instagram"/>
    <n v="1"/>
    <s v="8.5"/>
    <s v="OK"/>
    <x v="1"/>
    <x v="1"/>
    <x v="3"/>
    <n v="4.7"/>
    <b v="1"/>
  </r>
  <r>
    <n v="386"/>
    <n v="21"/>
    <s v="Male"/>
    <s v="Graduate"/>
    <s v="Turkey"/>
    <n v="4.9000000000000004"/>
    <s v="Instagram"/>
    <s v="Yes"/>
    <n v="7.3"/>
    <n v="6"/>
    <s v="Single"/>
    <n v="3"/>
    <n v="7"/>
    <s v="Instagram"/>
    <n v="1"/>
    <s v="7.3"/>
    <s v="OK"/>
    <x v="0"/>
    <x v="0"/>
    <x v="4"/>
    <n v="4.7"/>
    <b v="1"/>
  </r>
  <r>
    <n v="387"/>
    <n v="20"/>
    <s v="Female"/>
    <s v="Undergraduate"/>
    <s v="USA"/>
    <n v="7.4"/>
    <s v="TikTok"/>
    <s v="Yes"/>
    <n v="4.9000000000000004"/>
    <n v="5"/>
    <s v="In Relationship"/>
    <n v="4"/>
    <n v="9"/>
    <s v="Tiktok"/>
    <n v="2"/>
    <s v="4.9"/>
    <s v="LESS SLEEP"/>
    <x v="0"/>
    <x v="0"/>
    <x v="2"/>
    <n v="4.7"/>
    <b v="1"/>
  </r>
  <r>
    <n v="388"/>
    <n v="22"/>
    <s v="Male"/>
    <s v="Graduate"/>
    <s v="Mexico"/>
    <n v="6.2"/>
    <s v="WhatsApp"/>
    <s v="Yes"/>
    <n v="6"/>
    <n v="6"/>
    <s v="Single"/>
    <n v="3"/>
    <n v="7"/>
    <s v="Whatsapp"/>
    <n v="1"/>
    <s v="6"/>
    <s v="OK"/>
    <x v="0"/>
    <x v="0"/>
    <x v="4"/>
    <n v="4.7"/>
    <b v="1"/>
  </r>
  <r>
    <n v="389"/>
    <n v="19"/>
    <s v="Female"/>
    <s v="Undergraduate"/>
    <s v="France"/>
    <n v="3.9"/>
    <s v="Instagram"/>
    <s v="No"/>
    <n v="8.1"/>
    <n v="7"/>
    <s v="In Relationship"/>
    <n v="2"/>
    <n v="5"/>
    <s v="Instagram"/>
    <n v="1"/>
    <s v="8.1"/>
    <s v="OK"/>
    <x v="1"/>
    <x v="2"/>
    <x v="6"/>
    <n v="4.5999999999999996"/>
    <b v="1"/>
  </r>
  <r>
    <n v="390"/>
    <n v="21"/>
    <s v="Male"/>
    <s v="Graduate"/>
    <s v="Canada"/>
    <n v="4.7"/>
    <s v="Instagram"/>
    <s v="Yes"/>
    <n v="7.5"/>
    <n v="6"/>
    <s v="Single"/>
    <n v="3"/>
    <n v="7"/>
    <s v="Instagram"/>
    <n v="1"/>
    <s v="7.5"/>
    <s v="OK"/>
    <x v="0"/>
    <x v="0"/>
    <x v="4"/>
    <n v="4.5999999999999996"/>
    <b v="1"/>
  </r>
  <r>
    <n v="391"/>
    <n v="20"/>
    <s v="Female"/>
    <s v="Undergraduate"/>
    <s v="Spain"/>
    <n v="4.5"/>
    <s v="TikTok"/>
    <s v="Yes"/>
    <n v="7.4"/>
    <n v="6"/>
    <s v="Single"/>
    <n v="3"/>
    <n v="7"/>
    <s v="Tiktok"/>
    <n v="2"/>
    <s v="7.4"/>
    <s v="OK"/>
    <x v="0"/>
    <x v="0"/>
    <x v="4"/>
    <n v="4.5999999999999996"/>
    <b v="1"/>
  </r>
  <r>
    <n v="392"/>
    <n v="22"/>
    <s v="Male"/>
    <s v="Graduate"/>
    <s v="Denmark"/>
    <n v="3.3"/>
    <s v="Facebook"/>
    <s v="No"/>
    <n v="8.5"/>
    <n v="8"/>
    <s v="In Relationship"/>
    <n v="2"/>
    <n v="4"/>
    <s v="Facebook"/>
    <n v="0"/>
    <s v="8.5"/>
    <s v="OK"/>
    <x v="1"/>
    <x v="1"/>
    <x v="3"/>
    <n v="4.5999999999999996"/>
    <b v="1"/>
  </r>
  <r>
    <n v="393"/>
    <n v="19"/>
    <s v="Female"/>
    <s v="Undergraduate"/>
    <s v="Ireland"/>
    <n v="4.2"/>
    <s v="Instagram"/>
    <s v="Yes"/>
    <n v="7.7"/>
    <n v="7"/>
    <s v="Single"/>
    <n v="3"/>
    <n v="6"/>
    <s v="Instagram"/>
    <n v="1"/>
    <s v="7.7"/>
    <s v="OK"/>
    <x v="1"/>
    <x v="2"/>
    <x v="7"/>
    <n v="4.5999999999999996"/>
    <b v="1"/>
  </r>
  <r>
    <n v="394"/>
    <n v="21"/>
    <s v="Male"/>
    <s v="Graduate"/>
    <s v="India"/>
    <n v="6.5"/>
    <s v="WhatsApp"/>
    <s v="Yes"/>
    <n v="5.8"/>
    <n v="5"/>
    <s v="In Relationship"/>
    <n v="4"/>
    <n v="8"/>
    <s v="Whatsapp"/>
    <n v="1"/>
    <s v="5.8"/>
    <s v="OK"/>
    <x v="0"/>
    <x v="0"/>
    <x v="0"/>
    <n v="4.5999999999999996"/>
    <b v="1"/>
  </r>
  <r>
    <n v="395"/>
    <n v="20"/>
    <s v="Female"/>
    <s v="Undergraduate"/>
    <s v="Switzerland"/>
    <n v="3.2"/>
    <s v="Instagram"/>
    <s v="No"/>
    <n v="8.6"/>
    <n v="8"/>
    <s v="Single"/>
    <n v="2"/>
    <n v="4"/>
    <s v="Instagram"/>
    <n v="1"/>
    <s v="8.6"/>
    <s v="OK"/>
    <x v="1"/>
    <x v="1"/>
    <x v="3"/>
    <n v="4.5999999999999996"/>
    <b v="1"/>
  </r>
  <r>
    <n v="396"/>
    <n v="22"/>
    <s v="Male"/>
    <s v="Graduate"/>
    <s v="Turkey"/>
    <n v="4.8"/>
    <s v="TikTok"/>
    <s v="Yes"/>
    <n v="7.4"/>
    <n v="6"/>
    <s v="Single"/>
    <n v="3"/>
    <n v="7"/>
    <s v="Tiktok"/>
    <n v="2"/>
    <s v="7.4"/>
    <s v="OK"/>
    <x v="0"/>
    <x v="0"/>
    <x v="4"/>
    <n v="4.5999999999999996"/>
    <b v="1"/>
  </r>
  <r>
    <n v="397"/>
    <n v="19"/>
    <s v="Female"/>
    <s v="Undergraduate"/>
    <s v="USA"/>
    <n v="7.5"/>
    <s v="Instagram"/>
    <s v="Yes"/>
    <n v="4.8"/>
    <n v="5"/>
    <s v="In Relationship"/>
    <n v="4"/>
    <n v="9"/>
    <s v="Instagram"/>
    <n v="1"/>
    <s v="4.8"/>
    <s v="LESS SLEEP"/>
    <x v="0"/>
    <x v="0"/>
    <x v="2"/>
    <n v="4.5999999999999996"/>
    <b v="1"/>
  </r>
  <r>
    <n v="398"/>
    <n v="21"/>
    <s v="Male"/>
    <s v="Graduate"/>
    <s v="Mexico"/>
    <n v="6.3"/>
    <s v="WhatsApp"/>
    <s v="Yes"/>
    <n v="5.9"/>
    <n v="6"/>
    <s v="Single"/>
    <n v="3"/>
    <n v="7"/>
    <s v="Whatsapp"/>
    <n v="1"/>
    <s v="5.9"/>
    <s v="OK"/>
    <x v="0"/>
    <x v="0"/>
    <x v="4"/>
    <n v="4.5999999999999996"/>
    <b v="1"/>
  </r>
  <r>
    <n v="399"/>
    <n v="20"/>
    <s v="Female"/>
    <s v="Undergraduate"/>
    <s v="France"/>
    <n v="3.8"/>
    <s v="Instagram"/>
    <s v="No"/>
    <n v="8.1999999999999993"/>
    <n v="7"/>
    <s v="In Relationship"/>
    <n v="2"/>
    <n v="5"/>
    <s v="Instagram"/>
    <n v="1"/>
    <s v="8.2"/>
    <s v="OK"/>
    <x v="1"/>
    <x v="2"/>
    <x v="6"/>
    <n v="4.5999999999999996"/>
    <b v="1"/>
  </r>
  <r>
    <n v="400"/>
    <n v="22"/>
    <s v="Male"/>
    <s v="Graduate"/>
    <s v="Canada"/>
    <n v="4.5999999999999996"/>
    <s v="TikTok"/>
    <s v="Yes"/>
    <n v="7.6"/>
    <n v="6"/>
    <s v="Single"/>
    <n v="3"/>
    <n v="7"/>
    <s v="Tiktok"/>
    <n v="2"/>
    <s v="7.6"/>
    <s v="OK"/>
    <x v="0"/>
    <x v="0"/>
    <x v="4"/>
    <n v="4.5999999999999996"/>
    <b v="1"/>
  </r>
  <r>
    <n v="401"/>
    <n v="19"/>
    <s v="Female"/>
    <s v="Undergraduate"/>
    <s v="Spain"/>
    <n v="4.4000000000000004"/>
    <s v="Instagram"/>
    <s v="Yes"/>
    <n v="7.5"/>
    <n v="6"/>
    <s v="Single"/>
    <n v="3"/>
    <n v="7"/>
    <s v="Instagram"/>
    <n v="1"/>
    <s v="7.5"/>
    <s v="OK"/>
    <x v="0"/>
    <x v="0"/>
    <x v="4"/>
    <n v="4.5999999999999996"/>
    <b v="1"/>
  </r>
  <r>
    <n v="402"/>
    <n v="21"/>
    <s v="Male"/>
    <s v="Graduate"/>
    <s v="Denmark"/>
    <n v="3.2"/>
    <s v="Facebook"/>
    <s v="No"/>
    <n v="8.6"/>
    <n v="8"/>
    <s v="In Relationship"/>
    <n v="2"/>
    <n v="4"/>
    <s v="Facebook"/>
    <n v="0"/>
    <s v="8.6"/>
    <s v="OK"/>
    <x v="1"/>
    <x v="1"/>
    <x v="3"/>
    <n v="4.5999999999999996"/>
    <b v="1"/>
  </r>
  <r>
    <n v="403"/>
    <n v="20"/>
    <s v="Female"/>
    <s v="Undergraduate"/>
    <s v="Ireland"/>
    <n v="4.0999999999999996"/>
    <s v="TikTok"/>
    <s v="Yes"/>
    <n v="7.8"/>
    <n v="7"/>
    <s v="Single"/>
    <n v="3"/>
    <n v="6"/>
    <s v="Tiktok"/>
    <n v="2"/>
    <s v="7.8"/>
    <s v="OK"/>
    <x v="1"/>
    <x v="2"/>
    <x v="7"/>
    <n v="4.5999999999999996"/>
    <b v="1"/>
  </r>
  <r>
    <n v="404"/>
    <n v="22"/>
    <s v="Male"/>
    <s v="Graduate"/>
    <s v="India"/>
    <n v="6.6"/>
    <s v="WhatsApp"/>
    <s v="Yes"/>
    <n v="5.7"/>
    <n v="5"/>
    <s v="In Relationship"/>
    <n v="4"/>
    <n v="8"/>
    <s v="Whatsapp"/>
    <n v="1"/>
    <s v="5.7"/>
    <s v="OK"/>
    <x v="0"/>
    <x v="0"/>
    <x v="0"/>
    <n v="4.5999999999999996"/>
    <b v="1"/>
  </r>
  <r>
    <n v="405"/>
    <n v="19"/>
    <s v="Female"/>
    <s v="Undergraduate"/>
    <s v="Switzerland"/>
    <n v="3.1"/>
    <s v="Instagram"/>
    <s v="No"/>
    <n v="8.6999999999999993"/>
    <n v="8"/>
    <s v="Single"/>
    <n v="2"/>
    <n v="4"/>
    <s v="Instagram"/>
    <n v="1"/>
    <s v="8.7"/>
    <s v="OK"/>
    <x v="1"/>
    <x v="1"/>
    <x v="3"/>
    <n v="4.5999999999999996"/>
    <b v="1"/>
  </r>
  <r>
    <n v="406"/>
    <n v="21"/>
    <s v="Male"/>
    <s v="Graduate"/>
    <s v="Turkey"/>
    <n v="4.7"/>
    <s v="Instagram"/>
    <s v="Yes"/>
    <n v="7.5"/>
    <n v="6"/>
    <s v="Single"/>
    <n v="3"/>
    <n v="7"/>
    <s v="Instagram"/>
    <n v="1"/>
    <s v="7.5"/>
    <s v="OK"/>
    <x v="0"/>
    <x v="0"/>
    <x v="4"/>
    <n v="4.5999999999999996"/>
    <b v="1"/>
  </r>
  <r>
    <n v="407"/>
    <n v="20"/>
    <s v="Female"/>
    <s v="Undergraduate"/>
    <s v="USA"/>
    <n v="7.6"/>
    <s v="TikTok"/>
    <s v="Yes"/>
    <n v="4.7"/>
    <n v="5"/>
    <s v="In Relationship"/>
    <n v="4"/>
    <n v="9"/>
    <s v="Tiktok"/>
    <n v="2"/>
    <s v="4.7"/>
    <s v="LESS SLEEP"/>
    <x v="0"/>
    <x v="0"/>
    <x v="2"/>
    <n v="4.5999999999999996"/>
    <b v="1"/>
  </r>
  <r>
    <n v="408"/>
    <n v="22"/>
    <s v="Male"/>
    <s v="Graduate"/>
    <s v="Mexico"/>
    <n v="6.4"/>
    <s v="WhatsApp"/>
    <s v="Yes"/>
    <n v="5.8"/>
    <n v="6"/>
    <s v="Single"/>
    <n v="3"/>
    <n v="7"/>
    <s v="Whatsapp"/>
    <n v="1"/>
    <s v="5.8"/>
    <s v="OK"/>
    <x v="0"/>
    <x v="0"/>
    <x v="4"/>
    <n v="4.5999999999999996"/>
    <b v="1"/>
  </r>
  <r>
    <n v="409"/>
    <n v="19"/>
    <s v="Female"/>
    <s v="Undergraduate"/>
    <s v="France"/>
    <n v="3.7"/>
    <s v="Instagram"/>
    <s v="No"/>
    <n v="8.3000000000000007"/>
    <n v="7"/>
    <s v="In Relationship"/>
    <n v="2"/>
    <n v="5"/>
    <s v="Instagram"/>
    <n v="1"/>
    <s v="8.3"/>
    <s v="OK"/>
    <x v="1"/>
    <x v="2"/>
    <x v="6"/>
    <n v="4.5999999999999996"/>
    <b v="1"/>
  </r>
  <r>
    <n v="410"/>
    <n v="21"/>
    <s v="Male"/>
    <s v="Graduate"/>
    <s v="Canada"/>
    <n v="4.5"/>
    <s v="Instagram"/>
    <s v="Yes"/>
    <n v="7.7"/>
    <n v="6"/>
    <s v="Single"/>
    <n v="3"/>
    <n v="7"/>
    <s v="Instagram"/>
    <n v="1"/>
    <s v="7.7"/>
    <s v="OK"/>
    <x v="0"/>
    <x v="0"/>
    <x v="4"/>
    <n v="4.5999999999999996"/>
    <b v="1"/>
  </r>
  <r>
    <n v="411"/>
    <n v="20"/>
    <s v="Female"/>
    <s v="Undergraduate"/>
    <s v="Spain"/>
    <n v="4.3"/>
    <s v="TikTok"/>
    <s v="Yes"/>
    <n v="7.6"/>
    <n v="6"/>
    <s v="Single"/>
    <n v="3"/>
    <n v="7"/>
    <s v="Tiktok"/>
    <n v="2"/>
    <s v="7.6"/>
    <s v="OK"/>
    <x v="0"/>
    <x v="0"/>
    <x v="4"/>
    <n v="4.5999999999999996"/>
    <b v="1"/>
  </r>
  <r>
    <n v="412"/>
    <n v="22"/>
    <s v="Male"/>
    <s v="Graduate"/>
    <s v="Denmark"/>
    <n v="3.1"/>
    <s v="Facebook"/>
    <s v="No"/>
    <n v="8.6999999999999993"/>
    <n v="8"/>
    <s v="In Relationship"/>
    <n v="2"/>
    <n v="4"/>
    <s v="Facebook"/>
    <n v="0"/>
    <s v="8.7"/>
    <s v="OK"/>
    <x v="1"/>
    <x v="1"/>
    <x v="3"/>
    <n v="4.5999999999999996"/>
    <b v="1"/>
  </r>
  <r>
    <n v="413"/>
    <n v="19"/>
    <s v="Female"/>
    <s v="Undergraduate"/>
    <s v="Ireland"/>
    <n v="4"/>
    <s v="Instagram"/>
    <s v="Yes"/>
    <n v="7.9"/>
    <n v="7"/>
    <s v="Single"/>
    <n v="3"/>
    <n v="6"/>
    <s v="Instagram"/>
    <n v="1"/>
    <s v="7.9"/>
    <s v="OK"/>
    <x v="1"/>
    <x v="2"/>
    <x v="7"/>
    <n v="4.5999999999999996"/>
    <b v="1"/>
  </r>
  <r>
    <n v="414"/>
    <n v="21"/>
    <s v="Male"/>
    <s v="Graduate"/>
    <s v="India"/>
    <n v="6.7"/>
    <s v="WhatsApp"/>
    <s v="Yes"/>
    <n v="5.6"/>
    <n v="5"/>
    <s v="In Relationship"/>
    <n v="4"/>
    <n v="8"/>
    <s v="Whatsapp"/>
    <n v="1"/>
    <s v="5.6"/>
    <s v="OK"/>
    <x v="0"/>
    <x v="0"/>
    <x v="0"/>
    <n v="4.5999999999999996"/>
    <b v="1"/>
  </r>
  <r>
    <n v="415"/>
    <n v="20"/>
    <s v="Female"/>
    <s v="Undergraduate"/>
    <s v="Switzerland"/>
    <n v="3"/>
    <s v="Instagram"/>
    <s v="No"/>
    <n v="8.8000000000000007"/>
    <n v="8"/>
    <s v="Single"/>
    <n v="2"/>
    <n v="4"/>
    <s v="Instagram"/>
    <n v="1"/>
    <s v="8.8"/>
    <s v="OK"/>
    <x v="1"/>
    <x v="1"/>
    <x v="3"/>
    <n v="4.5999999999999996"/>
    <b v="1"/>
  </r>
  <r>
    <n v="416"/>
    <n v="22"/>
    <s v="Male"/>
    <s v="Graduate"/>
    <s v="Turkey"/>
    <n v="4.5999999999999996"/>
    <s v="TikTok"/>
    <s v="Yes"/>
    <n v="7.6"/>
    <n v="6"/>
    <s v="Single"/>
    <n v="3"/>
    <n v="7"/>
    <s v="Tiktok"/>
    <n v="2"/>
    <s v="7.6"/>
    <s v="OK"/>
    <x v="0"/>
    <x v="0"/>
    <x v="4"/>
    <n v="4.5999999999999996"/>
    <b v="1"/>
  </r>
  <r>
    <n v="417"/>
    <n v="19"/>
    <s v="Female"/>
    <s v="Undergraduate"/>
    <s v="USA"/>
    <n v="7.7"/>
    <s v="Instagram"/>
    <s v="Yes"/>
    <n v="4.5999999999999996"/>
    <n v="5"/>
    <s v="In Relationship"/>
    <n v="4"/>
    <n v="9"/>
    <s v="Instagram"/>
    <n v="1"/>
    <s v="4.6"/>
    <s v="LESS SLEEP"/>
    <x v="0"/>
    <x v="0"/>
    <x v="2"/>
    <n v="4.5"/>
    <b v="1"/>
  </r>
  <r>
    <n v="418"/>
    <n v="21"/>
    <s v="Male"/>
    <s v="Graduate"/>
    <s v="Mexico"/>
    <n v="6.5"/>
    <s v="WhatsApp"/>
    <s v="Yes"/>
    <n v="5.7"/>
    <n v="6"/>
    <s v="Single"/>
    <n v="3"/>
    <n v="7"/>
    <s v="Whatsapp"/>
    <n v="1"/>
    <s v="5.7"/>
    <s v="OK"/>
    <x v="0"/>
    <x v="0"/>
    <x v="4"/>
    <n v="4.5"/>
    <b v="1"/>
  </r>
  <r>
    <n v="419"/>
    <n v="20"/>
    <s v="Female"/>
    <s v="Undergraduate"/>
    <s v="France"/>
    <n v="3.6"/>
    <s v="Instagram"/>
    <s v="No"/>
    <n v="8.4"/>
    <n v="7"/>
    <s v="In Relationship"/>
    <n v="2"/>
    <n v="5"/>
    <s v="Instagram"/>
    <n v="1"/>
    <s v="8.4"/>
    <s v="OK"/>
    <x v="1"/>
    <x v="2"/>
    <x v="6"/>
    <n v="4.5"/>
    <b v="1"/>
  </r>
  <r>
    <n v="420"/>
    <n v="22"/>
    <s v="Male"/>
    <s v="Graduate"/>
    <s v="Canada"/>
    <n v="4.4000000000000004"/>
    <s v="TikTok"/>
    <s v="Yes"/>
    <n v="7.8"/>
    <n v="6"/>
    <s v="Single"/>
    <n v="3"/>
    <n v="7"/>
    <s v="Tiktok"/>
    <n v="2"/>
    <s v="7.8"/>
    <s v="OK"/>
    <x v="0"/>
    <x v="0"/>
    <x v="4"/>
    <n v="4.5"/>
    <b v="1"/>
  </r>
  <r>
    <n v="421"/>
    <n v="19"/>
    <s v="Female"/>
    <s v="Undergraduate"/>
    <s v="Spain"/>
    <n v="4.2"/>
    <s v="Instagram"/>
    <s v="Yes"/>
    <n v="7.7"/>
    <n v="6"/>
    <s v="Single"/>
    <n v="3"/>
    <n v="7"/>
    <s v="Instagram"/>
    <n v="1"/>
    <s v="7.7"/>
    <s v="OK"/>
    <x v="0"/>
    <x v="0"/>
    <x v="4"/>
    <n v="4.5"/>
    <b v="1"/>
  </r>
  <r>
    <n v="422"/>
    <n v="21"/>
    <s v="Male"/>
    <s v="Graduate"/>
    <s v="Denmark"/>
    <n v="3"/>
    <s v="Facebook"/>
    <s v="No"/>
    <n v="8.8000000000000007"/>
    <n v="8"/>
    <s v="In Relationship"/>
    <n v="2"/>
    <n v="4"/>
    <s v="Facebook"/>
    <n v="0"/>
    <s v="8.8"/>
    <s v="OK"/>
    <x v="1"/>
    <x v="1"/>
    <x v="3"/>
    <n v="4.5"/>
    <b v="1"/>
  </r>
  <r>
    <n v="423"/>
    <n v="20"/>
    <s v="Female"/>
    <s v="Undergraduate"/>
    <s v="Ireland"/>
    <n v="3.9"/>
    <s v="TikTok"/>
    <s v="Yes"/>
    <n v="8"/>
    <n v="7"/>
    <s v="Single"/>
    <n v="3"/>
    <n v="6"/>
    <s v="Tiktok"/>
    <n v="2"/>
    <s v="8"/>
    <s v="OK"/>
    <x v="1"/>
    <x v="2"/>
    <x v="7"/>
    <n v="4.5"/>
    <b v="1"/>
  </r>
  <r>
    <n v="424"/>
    <n v="22"/>
    <s v="Male"/>
    <s v="Graduate"/>
    <s v="India"/>
    <n v="6.8"/>
    <s v="WhatsApp"/>
    <s v="Yes"/>
    <n v="5.5"/>
    <n v="5"/>
    <s v="In Relationship"/>
    <n v="4"/>
    <n v="8"/>
    <s v="Whatsapp"/>
    <n v="1"/>
    <s v="5.5"/>
    <s v="OK"/>
    <x v="0"/>
    <x v="0"/>
    <x v="0"/>
    <n v="4.5"/>
    <b v="1"/>
  </r>
  <r>
    <n v="425"/>
    <n v="19"/>
    <s v="Female"/>
    <s v="Undergraduate"/>
    <s v="Switzerland"/>
    <n v="2.9"/>
    <s v="Instagram"/>
    <s v="No"/>
    <n v="8.9"/>
    <n v="8"/>
    <s v="Single"/>
    <n v="2"/>
    <n v="4"/>
    <s v="Instagram"/>
    <n v="1"/>
    <s v="8.9"/>
    <s v="OK"/>
    <x v="1"/>
    <x v="1"/>
    <x v="3"/>
    <n v="4.5"/>
    <b v="1"/>
  </r>
  <r>
    <n v="426"/>
    <n v="21"/>
    <s v="Male"/>
    <s v="Graduate"/>
    <s v="Turkey"/>
    <n v="4.5"/>
    <s v="Instagram"/>
    <s v="Yes"/>
    <n v="7.7"/>
    <n v="6"/>
    <s v="Single"/>
    <n v="3"/>
    <n v="7"/>
    <s v="Instagram"/>
    <n v="1"/>
    <s v="7.7"/>
    <s v="OK"/>
    <x v="0"/>
    <x v="0"/>
    <x v="4"/>
    <n v="4.5"/>
    <b v="1"/>
  </r>
  <r>
    <n v="427"/>
    <n v="20"/>
    <s v="Female"/>
    <s v="Undergraduate"/>
    <s v="USA"/>
    <n v="7.8"/>
    <s v="TikTok"/>
    <s v="Yes"/>
    <n v="4.5"/>
    <n v="5"/>
    <s v="In Relationship"/>
    <n v="4"/>
    <n v="9"/>
    <s v="Tiktok"/>
    <n v="2"/>
    <s v="4.5"/>
    <s v="LESS SLEEP"/>
    <x v="0"/>
    <x v="0"/>
    <x v="2"/>
    <n v="4.5"/>
    <b v="1"/>
  </r>
  <r>
    <n v="428"/>
    <n v="22"/>
    <s v="Male"/>
    <s v="Graduate"/>
    <s v="Mexico"/>
    <n v="6.6"/>
    <s v="WhatsApp"/>
    <s v="Yes"/>
    <n v="5.6"/>
    <n v="6"/>
    <s v="Single"/>
    <n v="3"/>
    <n v="7"/>
    <s v="Whatsapp"/>
    <n v="1"/>
    <s v="5.6"/>
    <s v="OK"/>
    <x v="0"/>
    <x v="0"/>
    <x v="4"/>
    <n v="4.5"/>
    <b v="1"/>
  </r>
  <r>
    <n v="429"/>
    <n v="19"/>
    <s v="Female"/>
    <s v="Undergraduate"/>
    <s v="France"/>
    <n v="3.5"/>
    <s v="Instagram"/>
    <s v="No"/>
    <n v="8.5"/>
    <n v="7"/>
    <s v="In Relationship"/>
    <n v="2"/>
    <n v="5"/>
    <s v="Instagram"/>
    <n v="1"/>
    <s v="8.5"/>
    <s v="OK"/>
    <x v="1"/>
    <x v="2"/>
    <x v="6"/>
    <n v="4.5"/>
    <b v="1"/>
  </r>
  <r>
    <n v="430"/>
    <n v="21"/>
    <s v="Male"/>
    <s v="Graduate"/>
    <s v="Canada"/>
    <n v="4.3"/>
    <s v="Instagram"/>
    <s v="Yes"/>
    <n v="7.9"/>
    <n v="6"/>
    <s v="Single"/>
    <n v="3"/>
    <n v="7"/>
    <s v="Instagram"/>
    <n v="1"/>
    <s v="7.9"/>
    <s v="OK"/>
    <x v="0"/>
    <x v="0"/>
    <x v="4"/>
    <n v="4.5"/>
    <b v="1"/>
  </r>
  <r>
    <n v="431"/>
    <n v="20"/>
    <s v="Female"/>
    <s v="Undergraduate"/>
    <s v="Spain"/>
    <n v="4.0999999999999996"/>
    <s v="TikTok"/>
    <s v="Yes"/>
    <n v="7.8"/>
    <n v="6"/>
    <s v="Single"/>
    <n v="3"/>
    <n v="7"/>
    <s v="Tiktok"/>
    <n v="2"/>
    <s v="7.8"/>
    <s v="OK"/>
    <x v="0"/>
    <x v="0"/>
    <x v="4"/>
    <n v="4.5"/>
    <b v="1"/>
  </r>
  <r>
    <n v="432"/>
    <n v="22"/>
    <s v="Male"/>
    <s v="Graduate"/>
    <s v="Denmark"/>
    <n v="2.9"/>
    <s v="Facebook"/>
    <s v="No"/>
    <n v="8.9"/>
    <n v="8"/>
    <s v="In Relationship"/>
    <n v="2"/>
    <n v="4"/>
    <s v="Facebook"/>
    <n v="0"/>
    <s v="8.9"/>
    <s v="OK"/>
    <x v="1"/>
    <x v="1"/>
    <x v="3"/>
    <n v="4.5"/>
    <b v="1"/>
  </r>
  <r>
    <n v="433"/>
    <n v="19"/>
    <s v="Female"/>
    <s v="Undergraduate"/>
    <s v="Ireland"/>
    <n v="3.8"/>
    <s v="Instagram"/>
    <s v="Yes"/>
    <n v="8.1"/>
    <n v="7"/>
    <s v="Single"/>
    <n v="3"/>
    <n v="6"/>
    <s v="Instagram"/>
    <n v="1"/>
    <s v="8.1"/>
    <s v="OK"/>
    <x v="1"/>
    <x v="2"/>
    <x v="7"/>
    <n v="4.5"/>
    <b v="1"/>
  </r>
  <r>
    <n v="434"/>
    <n v="21"/>
    <s v="Male"/>
    <s v="Graduate"/>
    <s v="India"/>
    <n v="6.9"/>
    <s v="WhatsApp"/>
    <s v="Yes"/>
    <n v="5.4"/>
    <n v="5"/>
    <s v="In Relationship"/>
    <n v="4"/>
    <n v="8"/>
    <s v="Whatsapp"/>
    <n v="1"/>
    <s v="5.4"/>
    <s v="OK"/>
    <x v="0"/>
    <x v="0"/>
    <x v="0"/>
    <n v="4.5"/>
    <b v="1"/>
  </r>
  <r>
    <n v="435"/>
    <n v="20"/>
    <s v="Female"/>
    <s v="Undergraduate"/>
    <s v="Switzerland"/>
    <n v="2.8"/>
    <s v="Instagram"/>
    <s v="No"/>
    <n v="9"/>
    <n v="8"/>
    <s v="Single"/>
    <n v="2"/>
    <n v="4"/>
    <s v="Instagram"/>
    <n v="1"/>
    <s v="9"/>
    <s v="OK"/>
    <x v="1"/>
    <x v="1"/>
    <x v="3"/>
    <n v="4.5"/>
    <b v="1"/>
  </r>
  <r>
    <n v="436"/>
    <n v="22"/>
    <s v="Male"/>
    <s v="Graduate"/>
    <s v="Turkey"/>
    <n v="4.4000000000000004"/>
    <s v="TikTok"/>
    <s v="Yes"/>
    <n v="7.8"/>
    <n v="6"/>
    <s v="Single"/>
    <n v="3"/>
    <n v="7"/>
    <s v="Tiktok"/>
    <n v="2"/>
    <s v="7.8"/>
    <s v="OK"/>
    <x v="0"/>
    <x v="0"/>
    <x v="4"/>
    <n v="4.5"/>
    <b v="1"/>
  </r>
  <r>
    <n v="437"/>
    <n v="19"/>
    <s v="Female"/>
    <s v="Undergraduate"/>
    <s v="USA"/>
    <n v="7.9"/>
    <s v="Instagram"/>
    <s v="Yes"/>
    <n v="4.4000000000000004"/>
    <n v="5"/>
    <s v="In Relationship"/>
    <n v="4"/>
    <n v="9"/>
    <s v="Instagram"/>
    <n v="1"/>
    <s v="4.4"/>
    <s v="LESS SLEEP"/>
    <x v="0"/>
    <x v="0"/>
    <x v="2"/>
    <n v="4.5"/>
    <b v="1"/>
  </r>
  <r>
    <n v="438"/>
    <n v="21"/>
    <s v="Male"/>
    <s v="Graduate"/>
    <s v="Mexico"/>
    <n v="6.7"/>
    <s v="WhatsApp"/>
    <s v="Yes"/>
    <n v="5.5"/>
    <n v="6"/>
    <s v="Single"/>
    <n v="3"/>
    <n v="7"/>
    <s v="Whatsapp"/>
    <n v="1"/>
    <s v="5.5"/>
    <s v="OK"/>
    <x v="0"/>
    <x v="0"/>
    <x v="4"/>
    <n v="4.5"/>
    <b v="1"/>
  </r>
  <r>
    <n v="439"/>
    <n v="20"/>
    <s v="Female"/>
    <s v="Undergraduate"/>
    <s v="France"/>
    <n v="3.4"/>
    <s v="Instagram"/>
    <s v="No"/>
    <n v="8.6"/>
    <n v="7"/>
    <s v="In Relationship"/>
    <n v="2"/>
    <n v="5"/>
    <s v="Instagram"/>
    <n v="1"/>
    <s v="8.6"/>
    <s v="OK"/>
    <x v="1"/>
    <x v="2"/>
    <x v="6"/>
    <n v="4.5"/>
    <b v="1"/>
  </r>
  <r>
    <n v="440"/>
    <n v="22"/>
    <s v="Male"/>
    <s v="Graduate"/>
    <s v="Canada"/>
    <n v="4.2"/>
    <s v="TikTok"/>
    <s v="Yes"/>
    <n v="8"/>
    <n v="6"/>
    <s v="Single"/>
    <n v="3"/>
    <n v="7"/>
    <s v="Tiktok"/>
    <n v="2"/>
    <s v="8"/>
    <s v="OK"/>
    <x v="0"/>
    <x v="0"/>
    <x v="4"/>
    <n v="4.5"/>
    <b v="1"/>
  </r>
  <r>
    <n v="441"/>
    <n v="19"/>
    <s v="Female"/>
    <s v="Undergraduate"/>
    <s v="Spain"/>
    <n v="4"/>
    <s v="Instagram"/>
    <s v="Yes"/>
    <n v="7.9"/>
    <n v="6"/>
    <s v="Single"/>
    <n v="3"/>
    <n v="7"/>
    <s v="Instagram"/>
    <n v="1"/>
    <s v="7.9"/>
    <s v="OK"/>
    <x v="0"/>
    <x v="0"/>
    <x v="4"/>
    <n v="4.5"/>
    <b v="1"/>
  </r>
  <r>
    <n v="442"/>
    <n v="21"/>
    <s v="Male"/>
    <s v="Graduate"/>
    <s v="Denmark"/>
    <n v="2.8"/>
    <s v="Facebook"/>
    <s v="No"/>
    <n v="9"/>
    <n v="8"/>
    <s v="In Relationship"/>
    <n v="2"/>
    <n v="4"/>
    <s v="Facebook"/>
    <n v="0"/>
    <s v="9"/>
    <s v="OK"/>
    <x v="1"/>
    <x v="1"/>
    <x v="3"/>
    <n v="4.5"/>
    <b v="1"/>
  </r>
  <r>
    <n v="443"/>
    <n v="20"/>
    <s v="Female"/>
    <s v="Undergraduate"/>
    <s v="Ireland"/>
    <n v="3.7"/>
    <s v="TikTok"/>
    <s v="Yes"/>
    <n v="8.1999999999999993"/>
    <n v="7"/>
    <s v="Single"/>
    <n v="3"/>
    <n v="6"/>
    <s v="Tiktok"/>
    <n v="2"/>
    <s v="8.2"/>
    <s v="OK"/>
    <x v="1"/>
    <x v="2"/>
    <x v="7"/>
    <n v="4.5"/>
    <b v="1"/>
  </r>
  <r>
    <n v="444"/>
    <n v="22"/>
    <s v="Male"/>
    <s v="Graduate"/>
    <s v="India"/>
    <n v="7"/>
    <s v="WhatsApp"/>
    <s v="Yes"/>
    <n v="5.3"/>
    <n v="5"/>
    <s v="In Relationship"/>
    <n v="4"/>
    <n v="8"/>
    <s v="Whatsapp"/>
    <n v="1"/>
    <s v="5.3"/>
    <s v="OK"/>
    <x v="0"/>
    <x v="0"/>
    <x v="0"/>
    <n v="4.5"/>
    <b v="1"/>
  </r>
  <r>
    <n v="445"/>
    <n v="19"/>
    <s v="Female"/>
    <s v="Undergraduate"/>
    <s v="Switzerland"/>
    <n v="2.7"/>
    <s v="Instagram"/>
    <s v="No"/>
    <n v="9.1"/>
    <n v="8"/>
    <s v="Single"/>
    <n v="2"/>
    <n v="4"/>
    <s v="Instagram"/>
    <n v="1"/>
    <s v="9.1"/>
    <s v="OK"/>
    <x v="1"/>
    <x v="1"/>
    <x v="3"/>
    <n v="4.5"/>
    <b v="1"/>
  </r>
  <r>
    <n v="446"/>
    <n v="21"/>
    <s v="Male"/>
    <s v="Graduate"/>
    <s v="Turkey"/>
    <n v="4.3"/>
    <s v="Instagram"/>
    <s v="Yes"/>
    <n v="7.9"/>
    <n v="6"/>
    <s v="Single"/>
    <n v="3"/>
    <n v="7"/>
    <s v="Instagram"/>
    <n v="1"/>
    <s v="7.9"/>
    <s v="OK"/>
    <x v="0"/>
    <x v="0"/>
    <x v="4"/>
    <n v="4.5"/>
    <b v="1"/>
  </r>
  <r>
    <n v="447"/>
    <n v="20"/>
    <s v="Female"/>
    <s v="Undergraduate"/>
    <s v="USA"/>
    <n v="8"/>
    <s v="TikTok"/>
    <s v="Yes"/>
    <n v="4.3"/>
    <n v="5"/>
    <s v="In Relationship"/>
    <n v="4"/>
    <n v="9"/>
    <s v="Tiktok"/>
    <n v="2"/>
    <s v="4.3"/>
    <s v="LESS SLEEP"/>
    <x v="0"/>
    <x v="0"/>
    <x v="2"/>
    <n v="4.4000000000000004"/>
    <b v="1"/>
  </r>
  <r>
    <n v="448"/>
    <n v="22"/>
    <s v="Male"/>
    <s v="Graduate"/>
    <s v="Mexico"/>
    <n v="6.8"/>
    <s v="WhatsApp"/>
    <s v="Yes"/>
    <n v="5.4"/>
    <n v="6"/>
    <s v="Single"/>
    <n v="3"/>
    <n v="7"/>
    <s v="Whatsapp"/>
    <n v="1"/>
    <s v="5.4"/>
    <s v="OK"/>
    <x v="0"/>
    <x v="0"/>
    <x v="4"/>
    <n v="4.4000000000000004"/>
    <b v="1"/>
  </r>
  <r>
    <n v="449"/>
    <n v="19"/>
    <s v="Female"/>
    <s v="Undergraduate"/>
    <s v="France"/>
    <n v="3.3"/>
    <s v="Instagram"/>
    <s v="No"/>
    <n v="8.6999999999999993"/>
    <n v="7"/>
    <s v="In Relationship"/>
    <n v="2"/>
    <n v="5"/>
    <s v="Instagram"/>
    <n v="1"/>
    <s v="8.7"/>
    <s v="OK"/>
    <x v="1"/>
    <x v="2"/>
    <x v="6"/>
    <n v="4.4000000000000004"/>
    <b v="1"/>
  </r>
  <r>
    <n v="450"/>
    <n v="21"/>
    <s v="Male"/>
    <s v="Graduate"/>
    <s v="Canada"/>
    <n v="4.0999999999999996"/>
    <s v="Instagram"/>
    <s v="Yes"/>
    <n v="8.1"/>
    <n v="6"/>
    <s v="Single"/>
    <n v="3"/>
    <n v="7"/>
    <s v="Instagram"/>
    <n v="1"/>
    <s v="8.1"/>
    <s v="OK"/>
    <x v="0"/>
    <x v="0"/>
    <x v="4"/>
    <n v="4.4000000000000004"/>
    <b v="1"/>
  </r>
  <r>
    <n v="451"/>
    <n v="20"/>
    <s v="Female"/>
    <s v="Undergraduate"/>
    <s v="Spain"/>
    <n v="3.9"/>
    <s v="TikTok"/>
    <s v="Yes"/>
    <n v="8"/>
    <n v="6"/>
    <s v="Single"/>
    <n v="3"/>
    <n v="7"/>
    <s v="Tiktok"/>
    <n v="2"/>
    <s v="8"/>
    <s v="OK"/>
    <x v="0"/>
    <x v="0"/>
    <x v="4"/>
    <n v="4.4000000000000004"/>
    <b v="1"/>
  </r>
  <r>
    <n v="452"/>
    <n v="22"/>
    <s v="Male"/>
    <s v="Graduate"/>
    <s v="Denmark"/>
    <n v="2.7"/>
    <s v="Facebook"/>
    <s v="No"/>
    <n v="9.1"/>
    <n v="8"/>
    <s v="In Relationship"/>
    <n v="2"/>
    <n v="4"/>
    <s v="Facebook"/>
    <n v="0"/>
    <s v="9.1"/>
    <s v="OK"/>
    <x v="1"/>
    <x v="1"/>
    <x v="3"/>
    <n v="4.4000000000000004"/>
    <b v="1"/>
  </r>
  <r>
    <n v="453"/>
    <n v="19"/>
    <s v="Female"/>
    <s v="Undergraduate"/>
    <s v="Ireland"/>
    <n v="3.6"/>
    <s v="Instagram"/>
    <s v="Yes"/>
    <n v="8.3000000000000007"/>
    <n v="7"/>
    <s v="Single"/>
    <n v="3"/>
    <n v="6"/>
    <s v="Instagram"/>
    <n v="1"/>
    <s v="8.3"/>
    <s v="OK"/>
    <x v="1"/>
    <x v="2"/>
    <x v="7"/>
    <n v="4.4000000000000004"/>
    <b v="1"/>
  </r>
  <r>
    <n v="454"/>
    <n v="21"/>
    <s v="Male"/>
    <s v="Graduate"/>
    <s v="India"/>
    <n v="7.1"/>
    <s v="WhatsApp"/>
    <s v="Yes"/>
    <n v="5.2"/>
    <n v="5"/>
    <s v="In Relationship"/>
    <n v="4"/>
    <n v="8"/>
    <s v="Whatsapp"/>
    <n v="1"/>
    <s v="5.2"/>
    <s v="OK"/>
    <x v="0"/>
    <x v="0"/>
    <x v="0"/>
    <n v="4.4000000000000004"/>
    <b v="1"/>
  </r>
  <r>
    <n v="455"/>
    <n v="20"/>
    <s v="Female"/>
    <s v="Undergraduate"/>
    <s v="Switzerland"/>
    <n v="2.6"/>
    <s v="Instagram"/>
    <s v="No"/>
    <n v="9.1999999999999993"/>
    <n v="8"/>
    <s v="Single"/>
    <n v="2"/>
    <n v="4"/>
    <s v="Instagram"/>
    <n v="1"/>
    <s v="9.2"/>
    <s v="OK"/>
    <x v="1"/>
    <x v="1"/>
    <x v="3"/>
    <n v="4.4000000000000004"/>
    <b v="1"/>
  </r>
  <r>
    <n v="456"/>
    <n v="22"/>
    <s v="Male"/>
    <s v="Graduate"/>
    <s v="Turkey"/>
    <n v="4.2"/>
    <s v="TikTok"/>
    <s v="Yes"/>
    <n v="8"/>
    <n v="6"/>
    <s v="Single"/>
    <n v="3"/>
    <n v="7"/>
    <s v="Tiktok"/>
    <n v="2"/>
    <s v="8"/>
    <s v="OK"/>
    <x v="0"/>
    <x v="0"/>
    <x v="4"/>
    <n v="4.4000000000000004"/>
    <b v="1"/>
  </r>
  <r>
    <n v="457"/>
    <n v="19"/>
    <s v="Female"/>
    <s v="Undergraduate"/>
    <s v="USA"/>
    <n v="8.1"/>
    <s v="Instagram"/>
    <s v="Yes"/>
    <n v="4.2"/>
    <n v="5"/>
    <s v="In Relationship"/>
    <n v="4"/>
    <n v="9"/>
    <s v="Instagram"/>
    <n v="1"/>
    <s v="4.2"/>
    <s v="LESS SLEEP"/>
    <x v="0"/>
    <x v="0"/>
    <x v="2"/>
    <n v="4.4000000000000004"/>
    <b v="1"/>
  </r>
  <r>
    <n v="458"/>
    <n v="21"/>
    <s v="Male"/>
    <s v="Graduate"/>
    <s v="Mexico"/>
    <n v="6.9"/>
    <s v="WhatsApp"/>
    <s v="Yes"/>
    <n v="5.3"/>
    <n v="6"/>
    <s v="Single"/>
    <n v="3"/>
    <n v="7"/>
    <s v="Whatsapp"/>
    <n v="1"/>
    <s v="5.3"/>
    <s v="OK"/>
    <x v="0"/>
    <x v="0"/>
    <x v="4"/>
    <n v="4.4000000000000004"/>
    <b v="1"/>
  </r>
  <r>
    <n v="459"/>
    <n v="20"/>
    <s v="Female"/>
    <s v="Undergraduate"/>
    <s v="France"/>
    <n v="3.2"/>
    <s v="Instagram"/>
    <s v="No"/>
    <n v="8.8000000000000007"/>
    <n v="7"/>
    <s v="In Relationship"/>
    <n v="2"/>
    <n v="5"/>
    <s v="Instagram"/>
    <n v="1"/>
    <s v="8.8"/>
    <s v="OK"/>
    <x v="1"/>
    <x v="2"/>
    <x v="6"/>
    <n v="4.4000000000000004"/>
    <b v="1"/>
  </r>
  <r>
    <n v="460"/>
    <n v="22"/>
    <s v="Male"/>
    <s v="Graduate"/>
    <s v="Canada"/>
    <n v="4"/>
    <s v="TikTok"/>
    <s v="Yes"/>
    <n v="8.1999999999999993"/>
    <n v="6"/>
    <s v="Single"/>
    <n v="3"/>
    <n v="7"/>
    <s v="Tiktok"/>
    <n v="2"/>
    <s v="8.2"/>
    <s v="OK"/>
    <x v="0"/>
    <x v="0"/>
    <x v="4"/>
    <n v="4.4000000000000004"/>
    <b v="1"/>
  </r>
  <r>
    <n v="461"/>
    <n v="19"/>
    <s v="Female"/>
    <s v="Undergraduate"/>
    <s v="Spain"/>
    <n v="3.8"/>
    <s v="Instagram"/>
    <s v="Yes"/>
    <n v="8.1"/>
    <n v="6"/>
    <s v="Single"/>
    <n v="3"/>
    <n v="7"/>
    <s v="Instagram"/>
    <n v="1"/>
    <s v="8.1"/>
    <s v="OK"/>
    <x v="0"/>
    <x v="0"/>
    <x v="4"/>
    <n v="4.4000000000000004"/>
    <b v="1"/>
  </r>
  <r>
    <n v="462"/>
    <n v="21"/>
    <s v="Male"/>
    <s v="Graduate"/>
    <s v="Denmark"/>
    <n v="2.6"/>
    <s v="Facebook"/>
    <s v="No"/>
    <n v="9.1999999999999993"/>
    <n v="8"/>
    <s v="In Relationship"/>
    <n v="2"/>
    <n v="4"/>
    <s v="Facebook"/>
    <n v="0"/>
    <s v="9.2"/>
    <s v="OK"/>
    <x v="1"/>
    <x v="1"/>
    <x v="3"/>
    <n v="4.4000000000000004"/>
    <b v="1"/>
  </r>
  <r>
    <n v="463"/>
    <n v="20"/>
    <s v="Female"/>
    <s v="Undergraduate"/>
    <s v="Ireland"/>
    <n v="3.5"/>
    <s v="TikTok"/>
    <s v="Yes"/>
    <n v="8.4"/>
    <n v="7"/>
    <s v="Single"/>
    <n v="3"/>
    <n v="6"/>
    <s v="Tiktok"/>
    <n v="2"/>
    <s v="8.4"/>
    <s v="OK"/>
    <x v="1"/>
    <x v="2"/>
    <x v="7"/>
    <n v="4.4000000000000004"/>
    <b v="1"/>
  </r>
  <r>
    <n v="464"/>
    <n v="22"/>
    <s v="Male"/>
    <s v="Graduate"/>
    <s v="India"/>
    <n v="7.2"/>
    <s v="WhatsApp"/>
    <s v="Yes"/>
    <n v="5.0999999999999996"/>
    <n v="5"/>
    <s v="In Relationship"/>
    <n v="4"/>
    <n v="8"/>
    <s v="Whatsapp"/>
    <n v="1"/>
    <s v="5.1"/>
    <s v="OK"/>
    <x v="0"/>
    <x v="0"/>
    <x v="0"/>
    <n v="4.4000000000000004"/>
    <b v="1"/>
  </r>
  <r>
    <n v="465"/>
    <n v="19"/>
    <s v="Female"/>
    <s v="Undergraduate"/>
    <s v="Switzerland"/>
    <n v="2.5"/>
    <s v="Instagram"/>
    <s v="No"/>
    <n v="9.3000000000000007"/>
    <n v="8"/>
    <s v="Single"/>
    <n v="2"/>
    <n v="4"/>
    <s v="Instagram"/>
    <n v="1"/>
    <s v="9.3"/>
    <s v="OK"/>
    <x v="1"/>
    <x v="1"/>
    <x v="3"/>
    <n v="4.4000000000000004"/>
    <b v="1"/>
  </r>
  <r>
    <n v="466"/>
    <n v="21"/>
    <s v="Male"/>
    <s v="Graduate"/>
    <s v="Turkey"/>
    <n v="4.0999999999999996"/>
    <s v="Instagram"/>
    <s v="Yes"/>
    <n v="8.1"/>
    <n v="6"/>
    <s v="Single"/>
    <n v="3"/>
    <n v="7"/>
    <s v="Instagram"/>
    <n v="1"/>
    <s v="8.1"/>
    <s v="OK"/>
    <x v="0"/>
    <x v="0"/>
    <x v="4"/>
    <n v="4.4000000000000004"/>
    <b v="1"/>
  </r>
  <r>
    <n v="467"/>
    <n v="20"/>
    <s v="Female"/>
    <s v="Undergraduate"/>
    <s v="USA"/>
    <n v="8.1999999999999993"/>
    <s v="TikTok"/>
    <s v="Yes"/>
    <n v="4.0999999999999996"/>
    <n v="5"/>
    <s v="In Relationship"/>
    <n v="4"/>
    <n v="9"/>
    <s v="Tiktok"/>
    <n v="2"/>
    <s v="4.1"/>
    <s v="LESS SLEEP"/>
    <x v="0"/>
    <x v="0"/>
    <x v="2"/>
    <n v="4.4000000000000004"/>
    <b v="1"/>
  </r>
  <r>
    <n v="468"/>
    <n v="22"/>
    <s v="Male"/>
    <s v="Graduate"/>
    <s v="Mexico"/>
    <n v="7"/>
    <s v="WhatsApp"/>
    <s v="Yes"/>
    <n v="5.2"/>
    <n v="6"/>
    <s v="Single"/>
    <n v="3"/>
    <n v="7"/>
    <s v="Whatsapp"/>
    <n v="1"/>
    <s v="5.2"/>
    <s v="OK"/>
    <x v="0"/>
    <x v="0"/>
    <x v="4"/>
    <n v="4.4000000000000004"/>
    <b v="1"/>
  </r>
  <r>
    <n v="469"/>
    <n v="19"/>
    <s v="Female"/>
    <s v="Undergraduate"/>
    <s v="France"/>
    <n v="3.1"/>
    <s v="Instagram"/>
    <s v="No"/>
    <n v="8.9"/>
    <n v="7"/>
    <s v="In Relationship"/>
    <n v="2"/>
    <n v="5"/>
    <s v="Instagram"/>
    <n v="1"/>
    <s v="8.9"/>
    <s v="OK"/>
    <x v="1"/>
    <x v="2"/>
    <x v="6"/>
    <n v="4.4000000000000004"/>
    <b v="1"/>
  </r>
  <r>
    <n v="470"/>
    <n v="21"/>
    <s v="Male"/>
    <s v="Graduate"/>
    <s v="Canada"/>
    <n v="3.9"/>
    <s v="Instagram"/>
    <s v="Yes"/>
    <n v="8.3000000000000007"/>
    <n v="6"/>
    <s v="Single"/>
    <n v="3"/>
    <n v="7"/>
    <s v="Instagram"/>
    <n v="1"/>
    <s v="8.3"/>
    <s v="OK"/>
    <x v="0"/>
    <x v="0"/>
    <x v="4"/>
    <n v="4.4000000000000004"/>
    <b v="1"/>
  </r>
  <r>
    <n v="471"/>
    <n v="20"/>
    <s v="Female"/>
    <s v="Undergraduate"/>
    <s v="Spain"/>
    <n v="3.7"/>
    <s v="TikTok"/>
    <s v="Yes"/>
    <n v="8.1999999999999993"/>
    <n v="6"/>
    <s v="Single"/>
    <n v="3"/>
    <n v="7"/>
    <s v="Tiktok"/>
    <n v="2"/>
    <s v="8.2"/>
    <s v="OK"/>
    <x v="0"/>
    <x v="0"/>
    <x v="4"/>
    <n v="4.4000000000000004"/>
    <b v="1"/>
  </r>
  <r>
    <n v="472"/>
    <n v="22"/>
    <s v="Male"/>
    <s v="Graduate"/>
    <s v="Denmark"/>
    <n v="2.5"/>
    <s v="Facebook"/>
    <s v="No"/>
    <n v="9.3000000000000007"/>
    <n v="8"/>
    <s v="In Relationship"/>
    <n v="2"/>
    <n v="4"/>
    <s v="Facebook"/>
    <n v="0"/>
    <s v="9.3"/>
    <s v="OK"/>
    <x v="1"/>
    <x v="1"/>
    <x v="3"/>
    <n v="4.4000000000000004"/>
    <b v="1"/>
  </r>
  <r>
    <n v="473"/>
    <n v="19"/>
    <s v="Female"/>
    <s v="Undergraduate"/>
    <s v="Ireland"/>
    <n v="3.4"/>
    <s v="Instagram"/>
    <s v="Yes"/>
    <n v="8.5"/>
    <n v="7"/>
    <s v="Single"/>
    <n v="3"/>
    <n v="6"/>
    <s v="Instagram"/>
    <n v="1"/>
    <s v="8.5"/>
    <s v="OK"/>
    <x v="1"/>
    <x v="2"/>
    <x v="7"/>
    <n v="4.4000000000000004"/>
    <b v="1"/>
  </r>
  <r>
    <n v="474"/>
    <n v="21"/>
    <s v="Male"/>
    <s v="Graduate"/>
    <s v="India"/>
    <n v="7.3"/>
    <s v="WhatsApp"/>
    <s v="Yes"/>
    <n v="5"/>
    <n v="5"/>
    <s v="In Relationship"/>
    <n v="4"/>
    <n v="8"/>
    <s v="Whatsapp"/>
    <n v="1"/>
    <s v="5"/>
    <s v="OK"/>
    <x v="0"/>
    <x v="0"/>
    <x v="0"/>
    <n v="4.3"/>
    <b v="1"/>
  </r>
  <r>
    <n v="475"/>
    <n v="20"/>
    <s v="Female"/>
    <s v="Undergraduate"/>
    <s v="Switzerland"/>
    <n v="2.4"/>
    <s v="Instagram"/>
    <s v="No"/>
    <n v="9.4"/>
    <n v="8"/>
    <s v="Single"/>
    <n v="2"/>
    <n v="4"/>
    <s v="Instagram"/>
    <n v="1"/>
    <s v="9.4"/>
    <s v="OK"/>
    <x v="1"/>
    <x v="1"/>
    <x v="3"/>
    <n v="4.3"/>
    <b v="1"/>
  </r>
  <r>
    <n v="476"/>
    <n v="22"/>
    <s v="Male"/>
    <s v="Graduate"/>
    <s v="Turkey"/>
    <n v="4"/>
    <s v="TikTok"/>
    <s v="Yes"/>
    <n v="8.1999999999999993"/>
    <n v="6"/>
    <s v="Single"/>
    <n v="3"/>
    <n v="7"/>
    <s v="Tiktok"/>
    <n v="2"/>
    <s v="8.2"/>
    <s v="OK"/>
    <x v="0"/>
    <x v="0"/>
    <x v="4"/>
    <n v="4.3"/>
    <b v="1"/>
  </r>
  <r>
    <n v="477"/>
    <n v="19"/>
    <s v="Female"/>
    <s v="Undergraduate"/>
    <s v="USA"/>
    <n v="8.3000000000000007"/>
    <s v="Instagram"/>
    <s v="Yes"/>
    <n v="4"/>
    <n v="5"/>
    <s v="In Relationship"/>
    <n v="4"/>
    <n v="9"/>
    <s v="Instagram"/>
    <n v="1"/>
    <s v="4"/>
    <s v="LESS SLEEP"/>
    <x v="0"/>
    <x v="0"/>
    <x v="2"/>
    <n v="4.3"/>
    <b v="1"/>
  </r>
  <r>
    <n v="478"/>
    <n v="21"/>
    <s v="Male"/>
    <s v="Graduate"/>
    <s v="Mexico"/>
    <n v="7.1"/>
    <s v="WhatsApp"/>
    <s v="Yes"/>
    <n v="5.0999999999999996"/>
    <n v="6"/>
    <s v="Single"/>
    <n v="3"/>
    <n v="7"/>
    <s v="Whatsapp"/>
    <n v="1"/>
    <s v="5.1"/>
    <s v="OK"/>
    <x v="0"/>
    <x v="0"/>
    <x v="4"/>
    <n v="4.3"/>
    <b v="1"/>
  </r>
  <r>
    <n v="479"/>
    <n v="20"/>
    <s v="Female"/>
    <s v="Undergraduate"/>
    <s v="France"/>
    <n v="3"/>
    <s v="Instagram"/>
    <s v="No"/>
    <n v="9"/>
    <n v="7"/>
    <s v="In Relationship"/>
    <n v="2"/>
    <n v="5"/>
    <s v="Instagram"/>
    <n v="1"/>
    <s v="9"/>
    <s v="OK"/>
    <x v="1"/>
    <x v="2"/>
    <x v="6"/>
    <n v="4.3"/>
    <b v="1"/>
  </r>
  <r>
    <n v="480"/>
    <n v="22"/>
    <s v="Male"/>
    <s v="Graduate"/>
    <s v="Canada"/>
    <n v="3.8"/>
    <s v="TikTok"/>
    <s v="Yes"/>
    <n v="8.4"/>
    <n v="6"/>
    <s v="Single"/>
    <n v="3"/>
    <n v="7"/>
    <s v="Tiktok"/>
    <n v="2"/>
    <s v="8.4"/>
    <s v="OK"/>
    <x v="0"/>
    <x v="0"/>
    <x v="4"/>
    <n v="4.3"/>
    <b v="1"/>
  </r>
  <r>
    <n v="481"/>
    <n v="19"/>
    <s v="Female"/>
    <s v="Undergraduate"/>
    <s v="Spain"/>
    <n v="3.6"/>
    <s v="Instagram"/>
    <s v="Yes"/>
    <n v="8.3000000000000007"/>
    <n v="6"/>
    <s v="Single"/>
    <n v="3"/>
    <n v="7"/>
    <s v="Instagram"/>
    <n v="1"/>
    <s v="8.3"/>
    <s v="OK"/>
    <x v="0"/>
    <x v="0"/>
    <x v="4"/>
    <n v="4.3"/>
    <b v="1"/>
  </r>
  <r>
    <n v="482"/>
    <n v="21"/>
    <s v="Male"/>
    <s v="Graduate"/>
    <s v="Denmark"/>
    <n v="2.4"/>
    <s v="Facebook"/>
    <s v="No"/>
    <n v="9.4"/>
    <n v="8"/>
    <s v="In Relationship"/>
    <n v="2"/>
    <n v="4"/>
    <s v="Facebook"/>
    <n v="0"/>
    <s v="9.4"/>
    <s v="OK"/>
    <x v="1"/>
    <x v="1"/>
    <x v="3"/>
    <n v="4.3"/>
    <b v="1"/>
  </r>
  <r>
    <n v="483"/>
    <n v="20"/>
    <s v="Female"/>
    <s v="Undergraduate"/>
    <s v="Ireland"/>
    <n v="3.3"/>
    <s v="TikTok"/>
    <s v="Yes"/>
    <n v="8.6"/>
    <n v="7"/>
    <s v="Single"/>
    <n v="3"/>
    <n v="6"/>
    <s v="Tiktok"/>
    <n v="2"/>
    <s v="8.6"/>
    <s v="OK"/>
    <x v="1"/>
    <x v="2"/>
    <x v="7"/>
    <n v="4.3"/>
    <b v="1"/>
  </r>
  <r>
    <n v="484"/>
    <n v="22"/>
    <s v="Male"/>
    <s v="Graduate"/>
    <s v="India"/>
    <n v="7.4"/>
    <s v="WhatsApp"/>
    <s v="Yes"/>
    <n v="4.9000000000000004"/>
    <n v="5"/>
    <s v="In Relationship"/>
    <n v="4"/>
    <n v="8"/>
    <s v="Whatsapp"/>
    <n v="1"/>
    <s v="4.9"/>
    <s v="LESS SLEEP"/>
    <x v="0"/>
    <x v="0"/>
    <x v="0"/>
    <n v="4.3"/>
    <b v="1"/>
  </r>
  <r>
    <n v="485"/>
    <n v="19"/>
    <s v="Female"/>
    <s v="Undergraduate"/>
    <s v="Switzerland"/>
    <n v="2.2999999999999998"/>
    <s v="Instagram"/>
    <s v="No"/>
    <n v="9.5"/>
    <n v="8"/>
    <s v="Single"/>
    <n v="2"/>
    <n v="4"/>
    <s v="Instagram"/>
    <n v="1"/>
    <s v="9.5"/>
    <s v="OK"/>
    <x v="1"/>
    <x v="1"/>
    <x v="3"/>
    <n v="4.3"/>
    <b v="1"/>
  </r>
  <r>
    <n v="486"/>
    <n v="21"/>
    <s v="Male"/>
    <s v="Graduate"/>
    <s v="Turkey"/>
    <n v="3.9"/>
    <s v="Instagram"/>
    <s v="Yes"/>
    <n v="8.3000000000000007"/>
    <n v="6"/>
    <s v="Single"/>
    <n v="3"/>
    <n v="7"/>
    <s v="Instagram"/>
    <n v="1"/>
    <s v="8.3"/>
    <s v="OK"/>
    <x v="0"/>
    <x v="0"/>
    <x v="4"/>
    <n v="4.3"/>
    <b v="1"/>
  </r>
  <r>
    <n v="487"/>
    <n v="20"/>
    <s v="Female"/>
    <s v="Undergraduate"/>
    <s v="USA"/>
    <n v="8.4"/>
    <s v="TikTok"/>
    <s v="Yes"/>
    <n v="3.9"/>
    <n v="5"/>
    <s v="In Relationship"/>
    <n v="4"/>
    <n v="9"/>
    <s v="Tiktok"/>
    <n v="2"/>
    <s v="3.9"/>
    <s v="LESS SLEEP"/>
    <x v="0"/>
    <x v="0"/>
    <x v="2"/>
    <n v="4.3"/>
    <b v="1"/>
  </r>
  <r>
    <n v="488"/>
    <n v="22"/>
    <s v="Male"/>
    <s v="Graduate"/>
    <s v="Mexico"/>
    <n v="7.2"/>
    <s v="WhatsApp"/>
    <s v="Yes"/>
    <n v="5"/>
    <n v="6"/>
    <s v="Single"/>
    <n v="3"/>
    <n v="7"/>
    <s v="Whatsapp"/>
    <n v="1"/>
    <s v="5"/>
    <s v="OK"/>
    <x v="0"/>
    <x v="0"/>
    <x v="4"/>
    <n v="4.3"/>
    <b v="1"/>
  </r>
  <r>
    <n v="489"/>
    <n v="19"/>
    <s v="Female"/>
    <s v="Undergraduate"/>
    <s v="France"/>
    <n v="2.9"/>
    <s v="Instagram"/>
    <s v="No"/>
    <n v="9.1"/>
    <n v="7"/>
    <s v="In Relationship"/>
    <n v="2"/>
    <n v="5"/>
    <s v="Instagram"/>
    <n v="1"/>
    <s v="9.1"/>
    <s v="OK"/>
    <x v="1"/>
    <x v="2"/>
    <x v="6"/>
    <n v="4.3"/>
    <b v="1"/>
  </r>
  <r>
    <n v="490"/>
    <n v="21"/>
    <s v="Male"/>
    <s v="Graduate"/>
    <s v="Canada"/>
    <n v="3.7"/>
    <s v="Instagram"/>
    <s v="Yes"/>
    <n v="8.5"/>
    <n v="6"/>
    <s v="Single"/>
    <n v="3"/>
    <n v="7"/>
    <s v="Instagram"/>
    <n v="1"/>
    <s v="8.5"/>
    <s v="OK"/>
    <x v="0"/>
    <x v="0"/>
    <x v="4"/>
    <n v="4.3"/>
    <b v="1"/>
  </r>
  <r>
    <n v="491"/>
    <n v="20"/>
    <s v="Female"/>
    <s v="Undergraduate"/>
    <s v="Spain"/>
    <n v="3.5"/>
    <s v="TikTok"/>
    <s v="Yes"/>
    <n v="8.4"/>
    <n v="6"/>
    <s v="Single"/>
    <n v="3"/>
    <n v="7"/>
    <s v="Tiktok"/>
    <n v="2"/>
    <s v="8.4"/>
    <s v="OK"/>
    <x v="0"/>
    <x v="0"/>
    <x v="4"/>
    <n v="4.3"/>
    <b v="1"/>
  </r>
  <r>
    <n v="492"/>
    <n v="22"/>
    <s v="Male"/>
    <s v="Graduate"/>
    <s v="Denmark"/>
    <n v="2.2999999999999998"/>
    <s v="Facebook"/>
    <s v="No"/>
    <n v="9.5"/>
    <n v="8"/>
    <s v="In Relationship"/>
    <n v="2"/>
    <n v="4"/>
    <s v="Facebook"/>
    <n v="0"/>
    <s v="9.5"/>
    <s v="OK"/>
    <x v="1"/>
    <x v="1"/>
    <x v="3"/>
    <n v="4.3"/>
    <b v="1"/>
  </r>
  <r>
    <n v="493"/>
    <n v="19"/>
    <s v="Female"/>
    <s v="Undergraduate"/>
    <s v="Ireland"/>
    <n v="3.2"/>
    <s v="Instagram"/>
    <s v="Yes"/>
    <n v="8.6999999999999993"/>
    <n v="7"/>
    <s v="Single"/>
    <n v="3"/>
    <n v="6"/>
    <s v="Instagram"/>
    <n v="1"/>
    <s v="8.7"/>
    <s v="OK"/>
    <x v="1"/>
    <x v="2"/>
    <x v="7"/>
    <n v="4.3"/>
    <b v="1"/>
  </r>
  <r>
    <n v="494"/>
    <n v="21"/>
    <s v="Male"/>
    <s v="Graduate"/>
    <s v="India"/>
    <n v="7.5"/>
    <s v="WhatsApp"/>
    <s v="Yes"/>
    <n v="4.8"/>
    <n v="5"/>
    <s v="In Relationship"/>
    <n v="4"/>
    <n v="8"/>
    <s v="Whatsapp"/>
    <n v="1"/>
    <s v="4.8"/>
    <s v="LESS SLEEP"/>
    <x v="0"/>
    <x v="0"/>
    <x v="0"/>
    <n v="4.3"/>
    <b v="1"/>
  </r>
  <r>
    <n v="495"/>
    <n v="20"/>
    <s v="Female"/>
    <s v="Undergraduate"/>
    <s v="Switzerland"/>
    <n v="2.2000000000000002"/>
    <s v="Instagram"/>
    <s v="No"/>
    <n v="9.6"/>
    <n v="8"/>
    <s v="Single"/>
    <n v="2"/>
    <n v="4"/>
    <s v="Instagram"/>
    <n v="1"/>
    <s v="9.6"/>
    <s v="OK"/>
    <x v="1"/>
    <x v="1"/>
    <x v="3"/>
    <n v="4.3"/>
    <b v="1"/>
  </r>
  <r>
    <n v="496"/>
    <n v="22"/>
    <s v="Male"/>
    <s v="Graduate"/>
    <s v="Turkey"/>
    <n v="3.8"/>
    <s v="TikTok"/>
    <s v="Yes"/>
    <n v="8.4"/>
    <n v="6"/>
    <s v="Single"/>
    <n v="3"/>
    <n v="7"/>
    <s v="Tiktok"/>
    <n v="2"/>
    <s v="8.4"/>
    <s v="OK"/>
    <x v="0"/>
    <x v="0"/>
    <x v="4"/>
    <n v="4.3"/>
    <b v="1"/>
  </r>
  <r>
    <n v="497"/>
    <n v="19"/>
    <s v="Female"/>
    <s v="Undergraduate"/>
    <s v="USA"/>
    <n v="8.5"/>
    <s v="Instagram"/>
    <s v="Yes"/>
    <n v="3.8"/>
    <n v="5"/>
    <s v="In Relationship"/>
    <n v="4"/>
    <n v="9"/>
    <s v="Instagram"/>
    <n v="1"/>
    <s v="3.8"/>
    <s v="LESS SLEEP"/>
    <x v="0"/>
    <x v="0"/>
    <x v="2"/>
    <n v="4.2"/>
    <b v="1"/>
  </r>
  <r>
    <n v="498"/>
    <n v="21"/>
    <s v="Male"/>
    <s v="Graduate"/>
    <s v="Mexico"/>
    <n v="7.3"/>
    <s v="WhatsApp"/>
    <s v="Yes"/>
    <n v="4.9000000000000004"/>
    <n v="6"/>
    <s v="Single"/>
    <n v="3"/>
    <n v="7"/>
    <s v="Whatsapp"/>
    <n v="1"/>
    <s v="4.9"/>
    <s v="LESS SLEEP"/>
    <x v="0"/>
    <x v="0"/>
    <x v="4"/>
    <n v="4.2"/>
    <b v="1"/>
  </r>
  <r>
    <n v="499"/>
    <n v="20"/>
    <s v="Female"/>
    <s v="Undergraduate"/>
    <s v="France"/>
    <n v="2.8"/>
    <s v="Instagram"/>
    <s v="No"/>
    <n v="9.1999999999999993"/>
    <n v="7"/>
    <s v="In Relationship"/>
    <n v="2"/>
    <n v="5"/>
    <s v="Instagram"/>
    <n v="1"/>
    <s v="9.2"/>
    <s v="OK"/>
    <x v="1"/>
    <x v="2"/>
    <x v="6"/>
    <n v="4.2"/>
    <b v="1"/>
  </r>
  <r>
    <n v="500"/>
    <n v="22"/>
    <s v="Male"/>
    <s v="Graduate"/>
    <s v="Canada"/>
    <n v="3.6"/>
    <s v="TikTok"/>
    <s v="Yes"/>
    <n v="8.6"/>
    <n v="6"/>
    <s v="Single"/>
    <n v="3"/>
    <n v="7"/>
    <s v="Tiktok"/>
    <n v="2"/>
    <s v="8.6"/>
    <s v="OK"/>
    <x v="0"/>
    <x v="0"/>
    <x v="4"/>
    <n v="4.2"/>
    <b v="1"/>
  </r>
  <r>
    <n v="501"/>
    <n v="19"/>
    <s v="Female"/>
    <s v="Undergraduate"/>
    <s v="Brazil"/>
    <n v="6.2"/>
    <s v="WhatsApp"/>
    <s v="Yes"/>
    <n v="6.3"/>
    <n v="6"/>
    <s v="Single"/>
    <n v="3"/>
    <n v="7"/>
    <s v="Whatsapp"/>
    <n v="1"/>
    <s v="6.3"/>
    <s v="OK"/>
    <x v="0"/>
    <x v="0"/>
    <x v="4"/>
    <n v="4.2"/>
    <b v="1"/>
  </r>
  <r>
    <n v="502"/>
    <n v="21"/>
    <s v="Male"/>
    <s v="Graduate"/>
    <s v="China"/>
    <n v="4.5"/>
    <s v="WeChat"/>
    <s v="No"/>
    <n v="7.8"/>
    <n v="7"/>
    <s v="In Relationship"/>
    <n v="2"/>
    <n v="5"/>
    <s v="Wechat"/>
    <n v="1"/>
    <s v="7.8"/>
    <s v="OK"/>
    <x v="1"/>
    <x v="2"/>
    <x v="6"/>
    <n v="4.2"/>
    <b v="1"/>
  </r>
  <r>
    <n v="503"/>
    <n v="20"/>
    <s v="Female"/>
    <s v="Undergraduate"/>
    <s v="Netherlands"/>
    <n v="3.8"/>
    <s v="Instagram"/>
    <s v="No"/>
    <n v="8.1999999999999993"/>
    <n v="8"/>
    <s v="Single"/>
    <n v="2"/>
    <n v="4"/>
    <s v="Instagram"/>
    <n v="1"/>
    <s v="8.2"/>
    <s v="OK"/>
    <x v="1"/>
    <x v="1"/>
    <x v="3"/>
    <n v="4.2"/>
    <b v="1"/>
  </r>
  <r>
    <n v="504"/>
    <n v="22"/>
    <s v="Male"/>
    <s v="Graduate"/>
    <s v="New Zealand"/>
    <n v="4.7"/>
    <s v="Instagram"/>
    <s v="Yes"/>
    <n v="7.5"/>
    <n v="7"/>
    <s v="In Relationship"/>
    <n v="3"/>
    <n v="6"/>
    <s v="Instagram"/>
    <n v="1"/>
    <s v="7.5"/>
    <s v="OK"/>
    <x v="1"/>
    <x v="2"/>
    <x v="7"/>
    <n v="4.2"/>
    <b v="1"/>
  </r>
  <r>
    <n v="505"/>
    <n v="19"/>
    <s v="Female"/>
    <s v="Undergraduate"/>
    <s v="Singapore"/>
    <n v="5.0999999999999996"/>
    <s v="TikTok"/>
    <s v="Yes"/>
    <n v="7"/>
    <n v="6"/>
    <s v="Single"/>
    <n v="3"/>
    <n v="7"/>
    <s v="Tiktok"/>
    <n v="2"/>
    <s v="7"/>
    <s v="OK"/>
    <x v="0"/>
    <x v="0"/>
    <x v="4"/>
    <n v="4.2"/>
    <b v="1"/>
  </r>
  <r>
    <n v="506"/>
    <n v="21"/>
    <s v="Male"/>
    <s v="Graduate"/>
    <s v="Malaysia"/>
    <n v="5.5"/>
    <s v="WhatsApp"/>
    <s v="Yes"/>
    <n v="6.8"/>
    <n v="6"/>
    <s v="Single"/>
    <n v="3"/>
    <n v="7"/>
    <s v="Whatsapp"/>
    <n v="1"/>
    <s v="6.8"/>
    <s v="OK"/>
    <x v="0"/>
    <x v="0"/>
    <x v="4"/>
    <n v="4.2"/>
    <b v="1"/>
  </r>
  <r>
    <n v="507"/>
    <n v="20"/>
    <s v="Female"/>
    <s v="Undergraduate"/>
    <s v="UAE"/>
    <n v="6.5"/>
    <s v="Instagram"/>
    <s v="Yes"/>
    <n v="6.5"/>
    <n v="5"/>
    <s v="In Relationship"/>
    <n v="4"/>
    <n v="8"/>
    <s v="Instagram"/>
    <n v="1"/>
    <s v="6.5"/>
    <s v="OK"/>
    <x v="0"/>
    <x v="0"/>
    <x v="0"/>
    <n v="4.2"/>
    <b v="1"/>
  </r>
  <r>
    <n v="508"/>
    <n v="22"/>
    <s v="Male"/>
    <s v="Graduate"/>
    <s v="Poland"/>
    <n v="4.2"/>
    <s v="Facebook"/>
    <s v="No"/>
    <n v="7.9"/>
    <n v="7"/>
    <s v="Single"/>
    <n v="2"/>
    <n v="5"/>
    <s v="Facebook"/>
    <n v="0"/>
    <s v="7.9"/>
    <s v="OK"/>
    <x v="1"/>
    <x v="2"/>
    <x v="6"/>
    <n v="4.2"/>
    <b v="1"/>
  </r>
  <r>
    <n v="509"/>
    <n v="19"/>
    <s v="Female"/>
    <s v="Undergraduate"/>
    <s v="India"/>
    <n v="6.8"/>
    <s v="WhatsApp"/>
    <s v="Yes"/>
    <n v="6"/>
    <n v="5"/>
    <s v="In Relationship"/>
    <n v="4"/>
    <n v="8"/>
    <s v="Whatsapp"/>
    <n v="1"/>
    <s v="6"/>
    <s v="OK"/>
    <x v="0"/>
    <x v="0"/>
    <x v="0"/>
    <n v="4.2"/>
    <b v="1"/>
  </r>
  <r>
    <n v="510"/>
    <n v="21"/>
    <s v="Male"/>
    <s v="Graduate"/>
    <s v="Canada"/>
    <n v="4.8"/>
    <s v="Instagram"/>
    <s v="Yes"/>
    <n v="7.4"/>
    <n v="7"/>
    <s v="Single"/>
    <n v="3"/>
    <n v="6"/>
    <s v="Instagram"/>
    <n v="1"/>
    <s v="7.4"/>
    <s v="OK"/>
    <x v="1"/>
    <x v="2"/>
    <x v="7"/>
    <n v="4.2"/>
    <b v="1"/>
  </r>
  <r>
    <n v="511"/>
    <n v="20"/>
    <s v="Female"/>
    <s v="Undergraduate"/>
    <s v="Brazil"/>
    <n v="6.1"/>
    <s v="Instagram"/>
    <s v="Yes"/>
    <n v="6.4"/>
    <n v="6"/>
    <s v="Single"/>
    <n v="3"/>
    <n v="7"/>
    <s v="Instagram"/>
    <n v="1"/>
    <s v="6.4"/>
    <s v="OK"/>
    <x v="0"/>
    <x v="0"/>
    <x v="4"/>
    <n v="4.2"/>
    <b v="1"/>
  </r>
  <r>
    <n v="512"/>
    <n v="22"/>
    <s v="Male"/>
    <s v="Graduate"/>
    <s v="China"/>
    <n v="4.4000000000000004"/>
    <s v="WeChat"/>
    <s v="No"/>
    <n v="7.9"/>
    <n v="7"/>
    <s v="In Relationship"/>
    <n v="2"/>
    <n v="5"/>
    <s v="Wechat"/>
    <n v="1"/>
    <s v="7.9"/>
    <s v="OK"/>
    <x v="1"/>
    <x v="2"/>
    <x v="6"/>
    <n v="4.2"/>
    <b v="1"/>
  </r>
  <r>
    <n v="513"/>
    <n v="19"/>
    <s v="Female"/>
    <s v="Undergraduate"/>
    <s v="Netherlands"/>
    <n v="3.7"/>
    <s v="TikTok"/>
    <s v="No"/>
    <n v="8.3000000000000007"/>
    <n v="8"/>
    <s v="Single"/>
    <n v="2"/>
    <n v="4"/>
    <s v="Tiktok"/>
    <n v="2"/>
    <s v="8.3"/>
    <s v="OK"/>
    <x v="1"/>
    <x v="1"/>
    <x v="3"/>
    <n v="4.2"/>
    <b v="1"/>
  </r>
  <r>
    <n v="514"/>
    <n v="21"/>
    <s v="Male"/>
    <s v="Graduate"/>
    <s v="New Zealand"/>
    <n v="4.5999999999999996"/>
    <s v="Instagram"/>
    <s v="Yes"/>
    <n v="7.6"/>
    <n v="7"/>
    <s v="In Relationship"/>
    <n v="3"/>
    <n v="6"/>
    <s v="Instagram"/>
    <n v="1"/>
    <s v="7.6"/>
    <s v="OK"/>
    <x v="1"/>
    <x v="2"/>
    <x v="7"/>
    <n v="4.2"/>
    <b v="1"/>
  </r>
  <r>
    <n v="515"/>
    <n v="20"/>
    <s v="Female"/>
    <s v="Undergraduate"/>
    <s v="Singapore"/>
    <n v="5.2"/>
    <s v="TikTok"/>
    <s v="Yes"/>
    <n v="6.9"/>
    <n v="6"/>
    <s v="Single"/>
    <n v="3"/>
    <n v="7"/>
    <s v="Tiktok"/>
    <n v="2"/>
    <s v="6.9"/>
    <s v="OK"/>
    <x v="0"/>
    <x v="0"/>
    <x v="4"/>
    <n v="4.2"/>
    <b v="1"/>
  </r>
  <r>
    <n v="516"/>
    <n v="22"/>
    <s v="Male"/>
    <s v="Graduate"/>
    <s v="Malaysia"/>
    <n v="5.6"/>
    <s v="WhatsApp"/>
    <s v="Yes"/>
    <n v="6.7"/>
    <n v="6"/>
    <s v="Single"/>
    <n v="3"/>
    <n v="7"/>
    <s v="Whatsapp"/>
    <n v="1"/>
    <s v="6.7"/>
    <s v="OK"/>
    <x v="0"/>
    <x v="0"/>
    <x v="4"/>
    <n v="4.2"/>
    <b v="1"/>
  </r>
  <r>
    <n v="517"/>
    <n v="19"/>
    <s v="Female"/>
    <s v="Undergraduate"/>
    <s v="UAE"/>
    <n v="6.6"/>
    <s v="Instagram"/>
    <s v="Yes"/>
    <n v="6.4"/>
    <n v="5"/>
    <s v="In Relationship"/>
    <n v="4"/>
    <n v="8"/>
    <s v="Instagram"/>
    <n v="1"/>
    <s v="6.4"/>
    <s v="OK"/>
    <x v="0"/>
    <x v="0"/>
    <x v="0"/>
    <n v="4.2"/>
    <b v="1"/>
  </r>
  <r>
    <n v="518"/>
    <n v="21"/>
    <s v="Male"/>
    <s v="Graduate"/>
    <s v="Poland"/>
    <n v="4.0999999999999996"/>
    <s v="Facebook"/>
    <s v="No"/>
    <n v="8"/>
    <n v="7"/>
    <s v="Single"/>
    <n v="2"/>
    <n v="5"/>
    <s v="Facebook"/>
    <n v="0"/>
    <s v="8"/>
    <s v="OK"/>
    <x v="1"/>
    <x v="2"/>
    <x v="6"/>
    <n v="4.2"/>
    <b v="1"/>
  </r>
  <r>
    <n v="519"/>
    <n v="20"/>
    <s v="Female"/>
    <s v="Undergraduate"/>
    <s v="India"/>
    <n v="6.9"/>
    <s v="WhatsApp"/>
    <s v="Yes"/>
    <n v="5.9"/>
    <n v="5"/>
    <s v="In Relationship"/>
    <n v="4"/>
    <n v="8"/>
    <s v="Whatsapp"/>
    <n v="1"/>
    <s v="5.9"/>
    <s v="OK"/>
    <x v="0"/>
    <x v="0"/>
    <x v="0"/>
    <n v="4.2"/>
    <b v="1"/>
  </r>
  <r>
    <n v="520"/>
    <n v="22"/>
    <s v="Male"/>
    <s v="Graduate"/>
    <s v="Canada"/>
    <n v="4.7"/>
    <s v="TikTok"/>
    <s v="Yes"/>
    <n v="7.5"/>
    <n v="7"/>
    <s v="Single"/>
    <n v="3"/>
    <n v="6"/>
    <s v="Tiktok"/>
    <n v="2"/>
    <s v="7.5"/>
    <s v="OK"/>
    <x v="1"/>
    <x v="2"/>
    <x v="7"/>
    <n v="4.0999999999999996"/>
    <b v="1"/>
  </r>
  <r>
    <n v="521"/>
    <n v="19"/>
    <s v="Female"/>
    <s v="Undergraduate"/>
    <s v="Brazil"/>
    <n v="6"/>
    <s v="WhatsApp"/>
    <s v="Yes"/>
    <n v="6.5"/>
    <n v="6"/>
    <s v="Single"/>
    <n v="3"/>
    <n v="7"/>
    <s v="Whatsapp"/>
    <n v="1"/>
    <s v="6.5"/>
    <s v="OK"/>
    <x v="0"/>
    <x v="0"/>
    <x v="4"/>
    <n v="4.0999999999999996"/>
    <b v="1"/>
  </r>
  <r>
    <n v="522"/>
    <n v="21"/>
    <s v="Male"/>
    <s v="Graduate"/>
    <s v="China"/>
    <n v="4.3"/>
    <s v="WeChat"/>
    <s v="No"/>
    <n v="8"/>
    <n v="7"/>
    <s v="In Relationship"/>
    <n v="2"/>
    <n v="5"/>
    <s v="Wechat"/>
    <n v="1"/>
    <s v="8"/>
    <s v="OK"/>
    <x v="1"/>
    <x v="2"/>
    <x v="6"/>
    <n v="4.0999999999999996"/>
    <b v="1"/>
  </r>
  <r>
    <n v="523"/>
    <n v="20"/>
    <s v="Female"/>
    <s v="Undergraduate"/>
    <s v="Netherlands"/>
    <n v="3.6"/>
    <s v="Instagram"/>
    <s v="No"/>
    <n v="8.4"/>
    <n v="8"/>
    <s v="Single"/>
    <n v="2"/>
    <n v="4"/>
    <s v="Instagram"/>
    <n v="1"/>
    <s v="8.4"/>
    <s v="OK"/>
    <x v="1"/>
    <x v="1"/>
    <x v="3"/>
    <n v="4.0999999999999996"/>
    <b v="1"/>
  </r>
  <r>
    <n v="524"/>
    <n v="22"/>
    <s v="Male"/>
    <s v="Graduate"/>
    <s v="New Zealand"/>
    <n v="4.5"/>
    <s v="Facebook"/>
    <s v="Yes"/>
    <n v="7.7"/>
    <n v="7"/>
    <s v="In Relationship"/>
    <n v="3"/>
    <n v="6"/>
    <s v="Facebook"/>
    <n v="0"/>
    <s v="7.7"/>
    <s v="OK"/>
    <x v="1"/>
    <x v="2"/>
    <x v="7"/>
    <n v="4.0999999999999996"/>
    <b v="1"/>
  </r>
  <r>
    <n v="525"/>
    <n v="19"/>
    <s v="Female"/>
    <s v="Undergraduate"/>
    <s v="Singapore"/>
    <n v="5.3"/>
    <s v="TikTok"/>
    <s v="Yes"/>
    <n v="6.8"/>
    <n v="6"/>
    <s v="Single"/>
    <n v="3"/>
    <n v="7"/>
    <s v="Tiktok"/>
    <n v="2"/>
    <s v="6.8"/>
    <s v="OK"/>
    <x v="0"/>
    <x v="0"/>
    <x v="4"/>
    <n v="4.0999999999999996"/>
    <b v="1"/>
  </r>
  <r>
    <n v="526"/>
    <n v="21"/>
    <s v="Male"/>
    <s v="Graduate"/>
    <s v="Malaysia"/>
    <n v="5.7"/>
    <s v="WhatsApp"/>
    <s v="Yes"/>
    <n v="6.6"/>
    <n v="6"/>
    <s v="Single"/>
    <n v="3"/>
    <n v="7"/>
    <s v="Whatsapp"/>
    <n v="1"/>
    <s v="6.6"/>
    <s v="OK"/>
    <x v="0"/>
    <x v="0"/>
    <x v="4"/>
    <n v="4.0999999999999996"/>
    <b v="1"/>
  </r>
  <r>
    <n v="527"/>
    <n v="20"/>
    <s v="Female"/>
    <s v="Undergraduate"/>
    <s v="UAE"/>
    <n v="6.7"/>
    <s v="Instagram"/>
    <s v="Yes"/>
    <n v="6.3"/>
    <n v="5"/>
    <s v="In Relationship"/>
    <n v="4"/>
    <n v="8"/>
    <s v="Instagram"/>
    <n v="1"/>
    <s v="6.3"/>
    <s v="OK"/>
    <x v="0"/>
    <x v="0"/>
    <x v="0"/>
    <n v="4.0999999999999996"/>
    <b v="1"/>
  </r>
  <r>
    <n v="528"/>
    <n v="22"/>
    <s v="Male"/>
    <s v="Graduate"/>
    <s v="Poland"/>
    <n v="4"/>
    <s v="Facebook"/>
    <s v="No"/>
    <n v="8.1"/>
    <n v="7"/>
    <s v="Single"/>
    <n v="2"/>
    <n v="5"/>
    <s v="Facebook"/>
    <n v="0"/>
    <s v="8.1"/>
    <s v="OK"/>
    <x v="1"/>
    <x v="2"/>
    <x v="6"/>
    <n v="4.0999999999999996"/>
    <b v="1"/>
  </r>
  <r>
    <n v="529"/>
    <n v="19"/>
    <s v="Female"/>
    <s v="Undergraduate"/>
    <s v="India"/>
    <n v="7"/>
    <s v="WhatsApp"/>
    <s v="Yes"/>
    <n v="5.8"/>
    <n v="5"/>
    <s v="In Relationship"/>
    <n v="4"/>
    <n v="8"/>
    <s v="Whatsapp"/>
    <n v="1"/>
    <s v="5.8"/>
    <s v="OK"/>
    <x v="0"/>
    <x v="0"/>
    <x v="0"/>
    <n v="4.0999999999999996"/>
    <b v="1"/>
  </r>
  <r>
    <n v="530"/>
    <n v="21"/>
    <s v="Male"/>
    <s v="Graduate"/>
    <s v="Canada"/>
    <n v="4.5999999999999996"/>
    <s v="Instagram"/>
    <s v="Yes"/>
    <n v="7.6"/>
    <n v="7"/>
    <s v="Single"/>
    <n v="3"/>
    <n v="6"/>
    <s v="Instagram"/>
    <n v="1"/>
    <s v="7.6"/>
    <s v="OK"/>
    <x v="1"/>
    <x v="2"/>
    <x v="7"/>
    <n v="4.0999999999999996"/>
    <b v="1"/>
  </r>
  <r>
    <n v="531"/>
    <n v="20"/>
    <s v="Female"/>
    <s v="Undergraduate"/>
    <s v="Brazil"/>
    <n v="5.9"/>
    <s v="TikTok"/>
    <s v="Yes"/>
    <n v="6.6"/>
    <n v="6"/>
    <s v="Single"/>
    <n v="3"/>
    <n v="7"/>
    <s v="Tiktok"/>
    <n v="2"/>
    <s v="6.6"/>
    <s v="OK"/>
    <x v="0"/>
    <x v="0"/>
    <x v="4"/>
    <n v="4.0999999999999996"/>
    <b v="1"/>
  </r>
  <r>
    <n v="532"/>
    <n v="22"/>
    <s v="Male"/>
    <s v="Graduate"/>
    <s v="China"/>
    <n v="4.2"/>
    <s v="WeChat"/>
    <s v="No"/>
    <n v="8.1"/>
    <n v="7"/>
    <s v="In Relationship"/>
    <n v="2"/>
    <n v="5"/>
    <s v="Wechat"/>
    <n v="1"/>
    <s v="8.1"/>
    <s v="OK"/>
    <x v="1"/>
    <x v="2"/>
    <x v="6"/>
    <n v="4.0999999999999996"/>
    <b v="1"/>
  </r>
  <r>
    <n v="533"/>
    <n v="19"/>
    <s v="Female"/>
    <s v="Undergraduate"/>
    <s v="Netherlands"/>
    <n v="3.5"/>
    <s v="Instagram"/>
    <s v="No"/>
    <n v="8.5"/>
    <n v="8"/>
    <s v="Single"/>
    <n v="2"/>
    <n v="4"/>
    <s v="Instagram"/>
    <n v="1"/>
    <s v="8.5"/>
    <s v="OK"/>
    <x v="1"/>
    <x v="1"/>
    <x v="3"/>
    <n v="4.0999999999999996"/>
    <b v="1"/>
  </r>
  <r>
    <n v="534"/>
    <n v="21"/>
    <s v="Male"/>
    <s v="Graduate"/>
    <s v="New Zealand"/>
    <n v="4.4000000000000004"/>
    <s v="Facebook"/>
    <s v="Yes"/>
    <n v="7.8"/>
    <n v="7"/>
    <s v="In Relationship"/>
    <n v="3"/>
    <n v="6"/>
    <s v="Facebook"/>
    <n v="0"/>
    <s v="7.8"/>
    <s v="OK"/>
    <x v="1"/>
    <x v="2"/>
    <x v="7"/>
    <n v="4.0999999999999996"/>
    <b v="1"/>
  </r>
  <r>
    <n v="535"/>
    <n v="20"/>
    <s v="Female"/>
    <s v="Undergraduate"/>
    <s v="Singapore"/>
    <n v="5.4"/>
    <s v="TikTok"/>
    <s v="Yes"/>
    <n v="6.7"/>
    <n v="6"/>
    <s v="Single"/>
    <n v="3"/>
    <n v="7"/>
    <s v="Tiktok"/>
    <n v="2"/>
    <s v="6.7"/>
    <s v="OK"/>
    <x v="0"/>
    <x v="0"/>
    <x v="4"/>
    <n v="4.0999999999999996"/>
    <b v="1"/>
  </r>
  <r>
    <n v="536"/>
    <n v="22"/>
    <s v="Male"/>
    <s v="Graduate"/>
    <s v="Malaysia"/>
    <n v="5.8"/>
    <s v="WhatsApp"/>
    <s v="Yes"/>
    <n v="6.5"/>
    <n v="6"/>
    <s v="Single"/>
    <n v="3"/>
    <n v="7"/>
    <s v="Whatsapp"/>
    <n v="1"/>
    <s v="6.5"/>
    <s v="OK"/>
    <x v="0"/>
    <x v="0"/>
    <x v="4"/>
    <n v="4.0999999999999996"/>
    <b v="1"/>
  </r>
  <r>
    <n v="537"/>
    <n v="19"/>
    <s v="Female"/>
    <s v="Undergraduate"/>
    <s v="UAE"/>
    <n v="6.8"/>
    <s v="Instagram"/>
    <s v="Yes"/>
    <n v="6.2"/>
    <n v="5"/>
    <s v="In Relationship"/>
    <n v="4"/>
    <n v="8"/>
    <s v="Instagram"/>
    <n v="1"/>
    <s v="6.2"/>
    <s v="OK"/>
    <x v="0"/>
    <x v="0"/>
    <x v="0"/>
    <n v="4"/>
    <b v="1"/>
  </r>
  <r>
    <n v="538"/>
    <n v="21"/>
    <s v="Male"/>
    <s v="Graduate"/>
    <s v="Poland"/>
    <n v="3.9"/>
    <s v="Facebook"/>
    <s v="No"/>
    <n v="8.1999999999999993"/>
    <n v="7"/>
    <s v="Single"/>
    <n v="2"/>
    <n v="5"/>
    <s v="Facebook"/>
    <n v="0"/>
    <s v="8.2"/>
    <s v="OK"/>
    <x v="1"/>
    <x v="2"/>
    <x v="6"/>
    <n v="4"/>
    <b v="1"/>
  </r>
  <r>
    <n v="539"/>
    <n v="20"/>
    <s v="Female"/>
    <s v="Undergraduate"/>
    <s v="India"/>
    <n v="7.1"/>
    <s v="WhatsApp"/>
    <s v="Yes"/>
    <n v="5.7"/>
    <n v="5"/>
    <s v="In Relationship"/>
    <n v="4"/>
    <n v="8"/>
    <s v="Whatsapp"/>
    <n v="1"/>
    <s v="5.7"/>
    <s v="OK"/>
    <x v="0"/>
    <x v="0"/>
    <x v="0"/>
    <n v="4"/>
    <b v="1"/>
  </r>
  <r>
    <n v="540"/>
    <n v="22"/>
    <s v="Male"/>
    <s v="Graduate"/>
    <s v="Canada"/>
    <n v="4.5"/>
    <s v="TikTok"/>
    <s v="Yes"/>
    <n v="7.7"/>
    <n v="7"/>
    <s v="Single"/>
    <n v="3"/>
    <n v="6"/>
    <s v="Tiktok"/>
    <n v="2"/>
    <s v="7.7"/>
    <s v="OK"/>
    <x v="1"/>
    <x v="2"/>
    <x v="7"/>
    <n v="4"/>
    <b v="1"/>
  </r>
  <r>
    <n v="541"/>
    <n v="19"/>
    <s v="Female"/>
    <s v="Undergraduate"/>
    <s v="Brazil"/>
    <n v="5.8"/>
    <s v="WhatsApp"/>
    <s v="Yes"/>
    <n v="6.7"/>
    <n v="6"/>
    <s v="Single"/>
    <n v="3"/>
    <n v="7"/>
    <s v="Whatsapp"/>
    <n v="1"/>
    <s v="6.7"/>
    <s v="OK"/>
    <x v="0"/>
    <x v="0"/>
    <x v="4"/>
    <n v="4"/>
    <b v="1"/>
  </r>
  <r>
    <n v="542"/>
    <n v="21"/>
    <s v="Male"/>
    <s v="Graduate"/>
    <s v="China"/>
    <n v="4.0999999999999996"/>
    <s v="WeChat"/>
    <s v="No"/>
    <n v="8.1999999999999993"/>
    <n v="7"/>
    <s v="In Relationship"/>
    <n v="2"/>
    <n v="5"/>
    <s v="Wechat"/>
    <n v="1"/>
    <s v="8.2"/>
    <s v="OK"/>
    <x v="1"/>
    <x v="2"/>
    <x v="6"/>
    <n v="4"/>
    <b v="1"/>
  </r>
  <r>
    <n v="543"/>
    <n v="20"/>
    <s v="Female"/>
    <s v="Undergraduate"/>
    <s v="Netherlands"/>
    <n v="3.4"/>
    <s v="Instagram"/>
    <s v="No"/>
    <n v="8.6"/>
    <n v="8"/>
    <s v="Single"/>
    <n v="2"/>
    <n v="4"/>
    <s v="Instagram"/>
    <n v="1"/>
    <s v="8.6"/>
    <s v="OK"/>
    <x v="1"/>
    <x v="1"/>
    <x v="3"/>
    <n v="4"/>
    <b v="1"/>
  </r>
  <r>
    <n v="544"/>
    <n v="22"/>
    <s v="Male"/>
    <s v="Graduate"/>
    <s v="New Zealand"/>
    <n v="4.3"/>
    <s v="Instagram"/>
    <s v="Yes"/>
    <n v="7.9"/>
    <n v="7"/>
    <s v="In Relationship"/>
    <n v="3"/>
    <n v="6"/>
    <s v="Instagram"/>
    <n v="1"/>
    <s v="7.9"/>
    <s v="OK"/>
    <x v="1"/>
    <x v="2"/>
    <x v="7"/>
    <n v="4"/>
    <b v="1"/>
  </r>
  <r>
    <n v="545"/>
    <n v="19"/>
    <s v="Female"/>
    <s v="Undergraduate"/>
    <s v="Singapore"/>
    <n v="5.5"/>
    <s v="TikTok"/>
    <s v="Yes"/>
    <n v="6.6"/>
    <n v="6"/>
    <s v="Single"/>
    <n v="3"/>
    <n v="7"/>
    <s v="Tiktok"/>
    <n v="2"/>
    <s v="6.6"/>
    <s v="OK"/>
    <x v="0"/>
    <x v="0"/>
    <x v="4"/>
    <n v="4"/>
    <b v="1"/>
  </r>
  <r>
    <n v="546"/>
    <n v="21"/>
    <s v="Male"/>
    <s v="Graduate"/>
    <s v="Malaysia"/>
    <n v="5.9"/>
    <s v="WhatsApp"/>
    <s v="Yes"/>
    <n v="6.4"/>
    <n v="6"/>
    <s v="Single"/>
    <n v="3"/>
    <n v="7"/>
    <s v="Whatsapp"/>
    <n v="1"/>
    <s v="6.4"/>
    <s v="OK"/>
    <x v="0"/>
    <x v="0"/>
    <x v="4"/>
    <n v="4"/>
    <b v="1"/>
  </r>
  <r>
    <n v="547"/>
    <n v="20"/>
    <s v="Female"/>
    <s v="Undergraduate"/>
    <s v="UAE"/>
    <n v="6.9"/>
    <s v="Instagram"/>
    <s v="Yes"/>
    <n v="6.1"/>
    <n v="5"/>
    <s v="In Relationship"/>
    <n v="4"/>
    <n v="8"/>
    <s v="Instagram"/>
    <n v="1"/>
    <s v="6.1"/>
    <s v="OK"/>
    <x v="0"/>
    <x v="0"/>
    <x v="0"/>
    <n v="4"/>
    <b v="1"/>
  </r>
  <r>
    <n v="548"/>
    <n v="22"/>
    <s v="Male"/>
    <s v="Graduate"/>
    <s v="Poland"/>
    <n v="3.8"/>
    <s v="Facebook"/>
    <s v="No"/>
    <n v="8.3000000000000007"/>
    <n v="7"/>
    <s v="Single"/>
    <n v="2"/>
    <n v="5"/>
    <s v="Facebook"/>
    <n v="0"/>
    <s v="8.3"/>
    <s v="OK"/>
    <x v="1"/>
    <x v="2"/>
    <x v="6"/>
    <n v="4"/>
    <b v="1"/>
  </r>
  <r>
    <n v="549"/>
    <n v="19"/>
    <s v="Female"/>
    <s v="Undergraduate"/>
    <s v="India"/>
    <n v="7.2"/>
    <s v="WhatsApp"/>
    <s v="Yes"/>
    <n v="5.6"/>
    <n v="5"/>
    <s v="In Relationship"/>
    <n v="4"/>
    <n v="8"/>
    <s v="Whatsapp"/>
    <n v="1"/>
    <s v="5.6"/>
    <s v="OK"/>
    <x v="0"/>
    <x v="0"/>
    <x v="0"/>
    <n v="4"/>
    <b v="1"/>
  </r>
  <r>
    <n v="550"/>
    <n v="21"/>
    <s v="Male"/>
    <s v="Graduate"/>
    <s v="Canada"/>
    <n v="4.4000000000000004"/>
    <s v="Instagram"/>
    <s v="Yes"/>
    <n v="7.8"/>
    <n v="7"/>
    <s v="Single"/>
    <n v="3"/>
    <n v="6"/>
    <s v="Instagram"/>
    <n v="1"/>
    <s v="7.8"/>
    <s v="OK"/>
    <x v="1"/>
    <x v="2"/>
    <x v="7"/>
    <n v="4"/>
    <b v="1"/>
  </r>
  <r>
    <n v="551"/>
    <n v="20"/>
    <s v="Female"/>
    <s v="Undergraduate"/>
    <s v="Brazil"/>
    <n v="5.7"/>
    <s v="TikTok"/>
    <s v="Yes"/>
    <n v="6.8"/>
    <n v="6"/>
    <s v="Single"/>
    <n v="3"/>
    <n v="7"/>
    <s v="Tiktok"/>
    <n v="2"/>
    <s v="6.8"/>
    <s v="OK"/>
    <x v="0"/>
    <x v="0"/>
    <x v="4"/>
    <n v="4"/>
    <b v="1"/>
  </r>
  <r>
    <n v="552"/>
    <n v="22"/>
    <s v="Male"/>
    <s v="Graduate"/>
    <s v="China"/>
    <n v="4"/>
    <s v="WeChat"/>
    <s v="No"/>
    <n v="8.3000000000000007"/>
    <n v="7"/>
    <s v="In Relationship"/>
    <n v="2"/>
    <n v="5"/>
    <s v="Wechat"/>
    <n v="1"/>
    <s v="8.3"/>
    <s v="OK"/>
    <x v="1"/>
    <x v="2"/>
    <x v="6"/>
    <n v="3.9"/>
    <b v="1"/>
  </r>
  <r>
    <n v="553"/>
    <n v="19"/>
    <s v="Female"/>
    <s v="Undergraduate"/>
    <s v="Netherlands"/>
    <n v="3.3"/>
    <s v="Instagram"/>
    <s v="No"/>
    <n v="8.6999999999999993"/>
    <n v="8"/>
    <s v="Single"/>
    <n v="2"/>
    <n v="4"/>
    <s v="Instagram"/>
    <n v="1"/>
    <s v="8.7"/>
    <s v="OK"/>
    <x v="1"/>
    <x v="1"/>
    <x v="3"/>
    <n v="3.9"/>
    <b v="1"/>
  </r>
  <r>
    <n v="554"/>
    <n v="21"/>
    <s v="Male"/>
    <s v="Graduate"/>
    <s v="New Zealand"/>
    <n v="4.2"/>
    <s v="Facebook"/>
    <s v="Yes"/>
    <n v="8"/>
    <n v="7"/>
    <s v="In Relationship"/>
    <n v="3"/>
    <n v="6"/>
    <s v="Facebook"/>
    <n v="0"/>
    <s v="8"/>
    <s v="OK"/>
    <x v="1"/>
    <x v="2"/>
    <x v="7"/>
    <n v="3.9"/>
    <b v="1"/>
  </r>
  <r>
    <n v="555"/>
    <n v="20"/>
    <s v="Female"/>
    <s v="Undergraduate"/>
    <s v="Singapore"/>
    <n v="5.6"/>
    <s v="TikTok"/>
    <s v="Yes"/>
    <n v="6.5"/>
    <n v="6"/>
    <s v="Single"/>
    <n v="3"/>
    <n v="7"/>
    <s v="Tiktok"/>
    <n v="2"/>
    <s v="6.5"/>
    <s v="OK"/>
    <x v="0"/>
    <x v="0"/>
    <x v="4"/>
    <n v="3.9"/>
    <b v="1"/>
  </r>
  <r>
    <n v="556"/>
    <n v="22"/>
    <s v="Male"/>
    <s v="Graduate"/>
    <s v="Malaysia"/>
    <n v="6"/>
    <s v="WhatsApp"/>
    <s v="Yes"/>
    <n v="6.3"/>
    <n v="6"/>
    <s v="Single"/>
    <n v="3"/>
    <n v="7"/>
    <s v="Whatsapp"/>
    <n v="1"/>
    <s v="6.3"/>
    <s v="OK"/>
    <x v="0"/>
    <x v="0"/>
    <x v="4"/>
    <n v="3.9"/>
    <b v="1"/>
  </r>
  <r>
    <n v="557"/>
    <n v="19"/>
    <s v="Female"/>
    <s v="Undergraduate"/>
    <s v="UAE"/>
    <n v="7"/>
    <s v="Instagram"/>
    <s v="Yes"/>
    <n v="6"/>
    <n v="5"/>
    <s v="In Relationship"/>
    <n v="4"/>
    <n v="8"/>
    <s v="Instagram"/>
    <n v="1"/>
    <s v="6"/>
    <s v="OK"/>
    <x v="0"/>
    <x v="0"/>
    <x v="0"/>
    <n v="3.9"/>
    <b v="1"/>
  </r>
  <r>
    <n v="558"/>
    <n v="21"/>
    <s v="Male"/>
    <s v="Graduate"/>
    <s v="Poland"/>
    <n v="3.7"/>
    <s v="Facebook"/>
    <s v="No"/>
    <n v="8.4"/>
    <n v="7"/>
    <s v="Single"/>
    <n v="2"/>
    <n v="5"/>
    <s v="Facebook"/>
    <n v="0"/>
    <s v="8.4"/>
    <s v="OK"/>
    <x v="1"/>
    <x v="2"/>
    <x v="6"/>
    <n v="3.9"/>
    <b v="1"/>
  </r>
  <r>
    <n v="559"/>
    <n v="20"/>
    <s v="Female"/>
    <s v="Undergraduate"/>
    <s v="India"/>
    <n v="7.3"/>
    <s v="WhatsApp"/>
    <s v="Yes"/>
    <n v="5.5"/>
    <n v="5"/>
    <s v="In Relationship"/>
    <n v="4"/>
    <n v="8"/>
    <s v="Whatsapp"/>
    <n v="1"/>
    <s v="5.5"/>
    <s v="OK"/>
    <x v="0"/>
    <x v="0"/>
    <x v="0"/>
    <n v="3.9"/>
    <b v="1"/>
  </r>
  <r>
    <n v="560"/>
    <n v="22"/>
    <s v="Male"/>
    <s v="Graduate"/>
    <s v="Canada"/>
    <n v="4.3"/>
    <s v="TikTok"/>
    <s v="Yes"/>
    <n v="7.9"/>
    <n v="7"/>
    <s v="Single"/>
    <n v="3"/>
    <n v="6"/>
    <s v="Tiktok"/>
    <n v="2"/>
    <s v="7.9"/>
    <s v="OK"/>
    <x v="1"/>
    <x v="2"/>
    <x v="7"/>
    <n v="3.9"/>
    <b v="1"/>
  </r>
  <r>
    <n v="561"/>
    <n v="19"/>
    <s v="Female"/>
    <s v="Undergraduate"/>
    <s v="Brazil"/>
    <n v="5.6"/>
    <s v="WhatsApp"/>
    <s v="Yes"/>
    <n v="6.9"/>
    <n v="6"/>
    <s v="Single"/>
    <n v="3"/>
    <n v="7"/>
    <s v="Whatsapp"/>
    <n v="1"/>
    <s v="6.9"/>
    <s v="OK"/>
    <x v="0"/>
    <x v="0"/>
    <x v="4"/>
    <n v="3.9"/>
    <b v="1"/>
  </r>
  <r>
    <n v="562"/>
    <n v="21"/>
    <s v="Male"/>
    <s v="Graduate"/>
    <s v="China"/>
    <n v="3.9"/>
    <s v="WeChat"/>
    <s v="No"/>
    <n v="8.4"/>
    <n v="7"/>
    <s v="In Relationship"/>
    <n v="2"/>
    <n v="5"/>
    <s v="Wechat"/>
    <n v="1"/>
    <s v="8.4"/>
    <s v="OK"/>
    <x v="1"/>
    <x v="2"/>
    <x v="6"/>
    <n v="3.9"/>
    <b v="1"/>
  </r>
  <r>
    <n v="563"/>
    <n v="20"/>
    <s v="Female"/>
    <s v="Undergraduate"/>
    <s v="Netherlands"/>
    <n v="3.2"/>
    <s v="Instagram"/>
    <s v="No"/>
    <n v="8.8000000000000007"/>
    <n v="8"/>
    <s v="Single"/>
    <n v="2"/>
    <n v="4"/>
    <s v="Instagram"/>
    <n v="1"/>
    <s v="8.8"/>
    <s v="OK"/>
    <x v="1"/>
    <x v="1"/>
    <x v="3"/>
    <n v="3.9"/>
    <b v="1"/>
  </r>
  <r>
    <n v="564"/>
    <n v="22"/>
    <s v="Male"/>
    <s v="Graduate"/>
    <s v="New Zealand"/>
    <n v="4.0999999999999996"/>
    <s v="Instagram"/>
    <s v="Yes"/>
    <n v="8.1"/>
    <n v="7"/>
    <s v="In Relationship"/>
    <n v="3"/>
    <n v="6"/>
    <s v="Instagram"/>
    <n v="1"/>
    <s v="8.1"/>
    <s v="OK"/>
    <x v="1"/>
    <x v="2"/>
    <x v="7"/>
    <n v="3.9"/>
    <b v="1"/>
  </r>
  <r>
    <n v="565"/>
    <n v="19"/>
    <s v="Female"/>
    <s v="Undergraduate"/>
    <s v="Singapore"/>
    <n v="5.7"/>
    <s v="TikTok"/>
    <s v="Yes"/>
    <n v="6.4"/>
    <n v="6"/>
    <s v="Single"/>
    <n v="3"/>
    <n v="7"/>
    <s v="Tiktok"/>
    <n v="2"/>
    <s v="6.4"/>
    <s v="OK"/>
    <x v="0"/>
    <x v="0"/>
    <x v="4"/>
    <n v="3.9"/>
    <b v="1"/>
  </r>
  <r>
    <n v="566"/>
    <n v="21"/>
    <s v="Male"/>
    <s v="Graduate"/>
    <s v="Malaysia"/>
    <n v="6.1"/>
    <s v="WhatsApp"/>
    <s v="Yes"/>
    <n v="6.2"/>
    <n v="6"/>
    <s v="Single"/>
    <n v="3"/>
    <n v="7"/>
    <s v="Whatsapp"/>
    <n v="1"/>
    <s v="6.2"/>
    <s v="OK"/>
    <x v="0"/>
    <x v="0"/>
    <x v="4"/>
    <n v="3.9"/>
    <b v="1"/>
  </r>
  <r>
    <n v="567"/>
    <n v="20"/>
    <s v="Female"/>
    <s v="Undergraduate"/>
    <s v="UAE"/>
    <n v="7.1"/>
    <s v="Instagram"/>
    <s v="Yes"/>
    <n v="5.9"/>
    <n v="5"/>
    <s v="In Relationship"/>
    <n v="4"/>
    <n v="8"/>
    <s v="Instagram"/>
    <n v="1"/>
    <s v="5.9"/>
    <s v="OK"/>
    <x v="0"/>
    <x v="0"/>
    <x v="0"/>
    <n v="3.8"/>
    <b v="1"/>
  </r>
  <r>
    <n v="568"/>
    <n v="22"/>
    <s v="Male"/>
    <s v="Graduate"/>
    <s v="Poland"/>
    <n v="3.6"/>
    <s v="Facebook"/>
    <s v="No"/>
    <n v="8.5"/>
    <n v="7"/>
    <s v="Single"/>
    <n v="2"/>
    <n v="5"/>
    <s v="Facebook"/>
    <n v="0"/>
    <s v="8.5"/>
    <s v="OK"/>
    <x v="1"/>
    <x v="2"/>
    <x v="6"/>
    <n v="3.8"/>
    <b v="1"/>
  </r>
  <r>
    <n v="569"/>
    <n v="19"/>
    <s v="Female"/>
    <s v="Undergraduate"/>
    <s v="India"/>
    <n v="7.4"/>
    <s v="WhatsApp"/>
    <s v="Yes"/>
    <n v="5.4"/>
    <n v="5"/>
    <s v="In Relationship"/>
    <n v="4"/>
    <n v="8"/>
    <s v="Whatsapp"/>
    <n v="1"/>
    <s v="5.4"/>
    <s v="OK"/>
    <x v="0"/>
    <x v="0"/>
    <x v="0"/>
    <n v="3.8"/>
    <b v="1"/>
  </r>
  <r>
    <n v="570"/>
    <n v="21"/>
    <s v="Male"/>
    <s v="Graduate"/>
    <s v="Canada"/>
    <n v="4.2"/>
    <s v="Instagram"/>
    <s v="Yes"/>
    <n v="8"/>
    <n v="7"/>
    <s v="Single"/>
    <n v="3"/>
    <n v="6"/>
    <s v="Instagram"/>
    <n v="1"/>
    <s v="8"/>
    <s v="OK"/>
    <x v="1"/>
    <x v="2"/>
    <x v="7"/>
    <n v="3.8"/>
    <b v="1"/>
  </r>
  <r>
    <n v="571"/>
    <n v="20"/>
    <s v="Female"/>
    <s v="Undergraduate"/>
    <s v="Spain"/>
    <n v="6.1"/>
    <s v="Instagram"/>
    <s v="Yes"/>
    <n v="7.2"/>
    <n v="5"/>
    <s v="Single"/>
    <n v="4"/>
    <n v="7"/>
    <s v="Instagram"/>
    <n v="1"/>
    <s v="7.2"/>
    <s v="OK"/>
    <x v="0"/>
    <x v="0"/>
    <x v="4"/>
    <n v="3.8"/>
    <b v="1"/>
  </r>
  <r>
    <n v="572"/>
    <n v="23"/>
    <s v="Male"/>
    <s v="Graduate"/>
    <s v="Denmark"/>
    <n v="3.8"/>
    <s v="Twitter"/>
    <s v="No"/>
    <n v="7.8"/>
    <n v="8"/>
    <s v="In Relationship"/>
    <n v="2"/>
    <n v="4"/>
    <s v="Twitter"/>
    <n v="3"/>
    <s v="7.8"/>
    <s v="OK"/>
    <x v="1"/>
    <x v="1"/>
    <x v="3"/>
    <n v="3.8"/>
    <b v="1"/>
  </r>
  <r>
    <n v="573"/>
    <n v="19"/>
    <s v="Female"/>
    <s v="Undergraduate"/>
    <s v="Ireland"/>
    <n v="5.5"/>
    <s v="TikTok"/>
    <s v="Yes"/>
    <n v="6.8"/>
    <n v="6"/>
    <s v="Single"/>
    <n v="4"/>
    <n v="8"/>
    <s v="Tiktok"/>
    <n v="2"/>
    <s v="6.8"/>
    <s v="OK"/>
    <x v="0"/>
    <x v="0"/>
    <x v="0"/>
    <n v="3.8"/>
    <b v="1"/>
  </r>
  <r>
    <n v="574"/>
    <n v="22"/>
    <s v="Male"/>
    <s v="Graduate"/>
    <s v="India"/>
    <n v="7.2"/>
    <s v="Facebook"/>
    <s v="Yes"/>
    <n v="5.9"/>
    <n v="4"/>
    <s v="Single"/>
    <n v="5"/>
    <n v="9"/>
    <s v="Facebook"/>
    <n v="0"/>
    <s v="5.9"/>
    <s v="OK"/>
    <x v="0"/>
    <x v="0"/>
    <x v="2"/>
    <n v="3.8"/>
    <b v="1"/>
  </r>
  <r>
    <n v="575"/>
    <n v="21"/>
    <s v="Female"/>
    <s v="Undergraduate"/>
    <s v="Switzerland"/>
    <n v="4.2"/>
    <s v="Instagram"/>
    <s v="No"/>
    <n v="7.5"/>
    <n v="7"/>
    <s v="In Relationship"/>
    <n v="2"/>
    <n v="5"/>
    <s v="Instagram"/>
    <n v="1"/>
    <s v="7.5"/>
    <s v="OK"/>
    <x v="1"/>
    <x v="2"/>
    <x v="6"/>
    <n v="3.8"/>
    <b v="1"/>
  </r>
  <r>
    <n v="576"/>
    <n v="24"/>
    <s v="Male"/>
    <s v="Graduate"/>
    <s v="Turkey"/>
    <n v="6.8"/>
    <s v="TikTok"/>
    <s v="Yes"/>
    <n v="6.2"/>
    <n v="5"/>
    <s v="Single"/>
    <n v="4"/>
    <n v="8"/>
    <s v="Tiktok"/>
    <n v="2"/>
    <s v="6.2"/>
    <s v="OK"/>
    <x v="0"/>
    <x v="0"/>
    <x v="0"/>
    <n v="3.8"/>
    <b v="1"/>
  </r>
  <r>
    <n v="577"/>
    <n v="20"/>
    <s v="Female"/>
    <s v="Undergraduate"/>
    <s v="USA"/>
    <n v="5.9"/>
    <s v="Instagram"/>
    <s v="Yes"/>
    <n v="6.7"/>
    <n v="6"/>
    <s v="In Relationship"/>
    <n v="3"/>
    <n v="7"/>
    <s v="Instagram"/>
    <n v="1"/>
    <s v="6.7"/>
    <s v="OK"/>
    <x v="0"/>
    <x v="0"/>
    <x v="4"/>
    <n v="3.8"/>
    <b v="1"/>
  </r>
  <r>
    <n v="578"/>
    <n v="22"/>
    <s v="Male"/>
    <s v="Graduate"/>
    <s v="Mexico"/>
    <n v="6.5"/>
    <s v="Facebook"/>
    <s v="Yes"/>
    <n v="6.1"/>
    <n v="5"/>
    <s v="Single"/>
    <n v="4"/>
    <n v="8"/>
    <s v="Facebook"/>
    <n v="0"/>
    <s v="6.1"/>
    <s v="OK"/>
    <x v="0"/>
    <x v="0"/>
    <x v="0"/>
    <n v="3.8"/>
    <b v="1"/>
  </r>
  <r>
    <n v="579"/>
    <n v="19"/>
    <s v="Female"/>
    <s v="Undergraduate"/>
    <s v="France"/>
    <n v="4.7"/>
    <s v="Twitter"/>
    <s v="No"/>
    <n v="7.4"/>
    <n v="7"/>
    <s v="Single"/>
    <n v="2"/>
    <n v="5"/>
    <s v="Twitter"/>
    <n v="3"/>
    <s v="7.4"/>
    <s v="OK"/>
    <x v="1"/>
    <x v="2"/>
    <x v="6"/>
    <n v="3.8"/>
    <b v="1"/>
  </r>
  <r>
    <n v="580"/>
    <n v="23"/>
    <s v="Male"/>
    <s v="Graduate"/>
    <s v="Canada"/>
    <n v="5.2"/>
    <s v="Instagram"/>
    <s v="Yes"/>
    <n v="7"/>
    <n v="6"/>
    <s v="In Relationship"/>
    <n v="3"/>
    <n v="6"/>
    <s v="Instagram"/>
    <n v="1"/>
    <s v="7"/>
    <s v="OK"/>
    <x v="1"/>
    <x v="2"/>
    <x v="7"/>
    <n v="3.8"/>
    <b v="1"/>
  </r>
  <r>
    <n v="581"/>
    <n v="21"/>
    <s v="Female"/>
    <s v="Undergraduate"/>
    <s v="UK"/>
    <n v="6.3"/>
    <s v="TikTok"/>
    <s v="Yes"/>
    <n v="6.4"/>
    <n v="5"/>
    <s v="Single"/>
    <n v="4"/>
    <n v="8"/>
    <s v="Tiktok"/>
    <n v="2"/>
    <s v="6.4"/>
    <s v="OK"/>
    <x v="0"/>
    <x v="0"/>
    <x v="0"/>
    <n v="3.8"/>
    <b v="1"/>
  </r>
  <r>
    <n v="582"/>
    <n v="24"/>
    <s v="Male"/>
    <s v="Graduate"/>
    <s v="Italy"/>
    <n v="4.9000000000000004"/>
    <s v="Facebook"/>
    <s v="No"/>
    <n v="7.3"/>
    <n v="7"/>
    <s v="In Relationship"/>
    <n v="2"/>
    <n v="5"/>
    <s v="Facebook"/>
    <n v="0"/>
    <s v="7.3"/>
    <s v="OK"/>
    <x v="1"/>
    <x v="2"/>
    <x v="6"/>
    <n v="3.8"/>
    <b v="1"/>
  </r>
  <r>
    <n v="583"/>
    <n v="20"/>
    <s v="Female"/>
    <s v="Undergraduate"/>
    <s v="Russia"/>
    <n v="6.7"/>
    <s v="Instagram"/>
    <s v="Yes"/>
    <n v="6"/>
    <n v="5"/>
    <s v="Single"/>
    <n v="4"/>
    <n v="8"/>
    <s v="Instagram"/>
    <n v="1"/>
    <s v="6"/>
    <s v="OK"/>
    <x v="0"/>
    <x v="0"/>
    <x v="0"/>
    <n v="3.8"/>
    <b v="1"/>
  </r>
  <r>
    <n v="584"/>
    <n v="22"/>
    <s v="Male"/>
    <s v="Graduate"/>
    <s v="China"/>
    <n v="5.8"/>
    <s v="WeChat"/>
    <s v="Yes"/>
    <n v="6.5"/>
    <n v="6"/>
    <s v="In Relationship"/>
    <n v="3"/>
    <n v="7"/>
    <s v="Wechat"/>
    <n v="1"/>
    <s v="6.5"/>
    <s v="OK"/>
    <x v="0"/>
    <x v="0"/>
    <x v="4"/>
    <n v="3.8"/>
    <b v="1"/>
  </r>
  <r>
    <n v="585"/>
    <n v="19"/>
    <s v="Female"/>
    <s v="Undergraduate"/>
    <s v="Japan"/>
    <n v="4.5"/>
    <s v="Twitter"/>
    <s v="No"/>
    <n v="7.6"/>
    <n v="8"/>
    <s v="Single"/>
    <n v="2"/>
    <n v="4"/>
    <s v="Twitter"/>
    <n v="3"/>
    <s v="7.6"/>
    <s v="OK"/>
    <x v="1"/>
    <x v="1"/>
    <x v="3"/>
    <n v="3.8"/>
    <b v="1"/>
  </r>
  <r>
    <n v="586"/>
    <n v="23"/>
    <s v="Male"/>
    <s v="Graduate"/>
    <s v="Poland"/>
    <n v="6.4"/>
    <s v="Facebook"/>
    <s v="Yes"/>
    <n v="6.3"/>
    <n v="5"/>
    <s v="Single"/>
    <n v="4"/>
    <n v="8"/>
    <s v="Facebook"/>
    <n v="0"/>
    <s v="6.3"/>
    <s v="OK"/>
    <x v="0"/>
    <x v="0"/>
    <x v="0"/>
    <n v="3.7"/>
    <b v="1"/>
  </r>
  <r>
    <n v="587"/>
    <n v="21"/>
    <s v="Female"/>
    <s v="Undergraduate"/>
    <s v="Finland"/>
    <n v="4.0999999999999996"/>
    <s v="Instagram"/>
    <s v="No"/>
    <n v="7.7"/>
    <n v="7"/>
    <s v="In Relationship"/>
    <n v="2"/>
    <n v="5"/>
    <s v="Instagram"/>
    <n v="1"/>
    <s v="7.7"/>
    <s v="OK"/>
    <x v="1"/>
    <x v="2"/>
    <x v="6"/>
    <n v="3.7"/>
    <b v="1"/>
  </r>
  <r>
    <n v="588"/>
    <n v="24"/>
    <s v="Male"/>
    <s v="Graduate"/>
    <s v="Spain"/>
    <n v="6.6"/>
    <s v="TikTok"/>
    <s v="Yes"/>
    <n v="6.2"/>
    <n v="5"/>
    <s v="Single"/>
    <n v="4"/>
    <n v="8"/>
    <s v="Tiktok"/>
    <n v="2"/>
    <s v="6.2"/>
    <s v="OK"/>
    <x v="0"/>
    <x v="0"/>
    <x v="0"/>
    <n v="3.7"/>
    <b v="1"/>
  </r>
  <r>
    <n v="589"/>
    <n v="20"/>
    <s v="Female"/>
    <s v="Undergraduate"/>
    <s v="Denmark"/>
    <n v="4.4000000000000004"/>
    <s v="Instagram"/>
    <s v="No"/>
    <n v="7.4"/>
    <n v="7"/>
    <s v="In Relationship"/>
    <n v="2"/>
    <n v="5"/>
    <s v="Instagram"/>
    <n v="1"/>
    <s v="7.4"/>
    <s v="OK"/>
    <x v="1"/>
    <x v="2"/>
    <x v="6"/>
    <n v="3.7"/>
    <b v="1"/>
  </r>
  <r>
    <n v="590"/>
    <n v="22"/>
    <s v="Male"/>
    <s v="Graduate"/>
    <s v="Ireland"/>
    <n v="5.7"/>
    <s v="Twitter"/>
    <s v="Yes"/>
    <n v="6.8"/>
    <n v="6"/>
    <s v="Single"/>
    <n v="3"/>
    <n v="7"/>
    <s v="Twitter"/>
    <n v="3"/>
    <s v="6.8"/>
    <s v="OK"/>
    <x v="0"/>
    <x v="0"/>
    <x v="4"/>
    <n v="3.7"/>
    <b v="1"/>
  </r>
  <r>
    <n v="591"/>
    <n v="19"/>
    <s v="Female"/>
    <s v="Undergraduate"/>
    <s v="India"/>
    <n v="7"/>
    <s v="Instagram"/>
    <s v="Yes"/>
    <n v="5.8"/>
    <n v="4"/>
    <s v="Single"/>
    <n v="5"/>
    <n v="9"/>
    <s v="Instagram"/>
    <n v="1"/>
    <s v="5.8"/>
    <s v="OK"/>
    <x v="0"/>
    <x v="0"/>
    <x v="2"/>
    <n v="3.7"/>
    <b v="1"/>
  </r>
  <r>
    <n v="592"/>
    <n v="23"/>
    <s v="Male"/>
    <s v="Graduate"/>
    <s v="Switzerland"/>
    <n v="4.3"/>
    <s v="Facebook"/>
    <s v="No"/>
    <n v="7.5"/>
    <n v="7"/>
    <s v="In Relationship"/>
    <n v="2"/>
    <n v="5"/>
    <s v="Facebook"/>
    <n v="0"/>
    <s v="7.5"/>
    <s v="OK"/>
    <x v="1"/>
    <x v="2"/>
    <x v="6"/>
    <n v="3.7"/>
    <b v="1"/>
  </r>
  <r>
    <n v="593"/>
    <n v="21"/>
    <s v="Female"/>
    <s v="Undergraduate"/>
    <s v="Turkey"/>
    <n v="6.9"/>
    <s v="TikTok"/>
    <s v="Yes"/>
    <n v="6.1"/>
    <n v="5"/>
    <s v="Single"/>
    <n v="4"/>
    <n v="8"/>
    <s v="Tiktok"/>
    <n v="2"/>
    <s v="6.1"/>
    <s v="OK"/>
    <x v="0"/>
    <x v="0"/>
    <x v="0"/>
    <n v="3.7"/>
    <b v="1"/>
  </r>
  <r>
    <n v="594"/>
    <n v="24"/>
    <s v="Male"/>
    <s v="Graduate"/>
    <s v="USA"/>
    <n v="5.6"/>
    <s v="Instagram"/>
    <s v="Yes"/>
    <n v="6.9"/>
    <n v="6"/>
    <s v="In Relationship"/>
    <n v="3"/>
    <n v="7"/>
    <s v="Instagram"/>
    <n v="1"/>
    <s v="6.9"/>
    <s v="OK"/>
    <x v="0"/>
    <x v="0"/>
    <x v="4"/>
    <n v="3.7"/>
    <b v="1"/>
  </r>
  <r>
    <n v="595"/>
    <n v="20"/>
    <s v="Female"/>
    <s v="Undergraduate"/>
    <s v="Mexico"/>
    <n v="6.2"/>
    <s v="Facebook"/>
    <s v="Yes"/>
    <n v="6.3"/>
    <n v="5"/>
    <s v="Single"/>
    <n v="4"/>
    <n v="8"/>
    <s v="Facebook"/>
    <n v="0"/>
    <s v="6.3"/>
    <s v="OK"/>
    <x v="0"/>
    <x v="0"/>
    <x v="0"/>
    <n v="3.7"/>
    <b v="1"/>
  </r>
  <r>
    <n v="596"/>
    <n v="21"/>
    <s v="Male"/>
    <s v="Undergraduate"/>
    <s v="France"/>
    <n v="5.8"/>
    <s v="Instagram"/>
    <s v="Yes"/>
    <n v="6.7"/>
    <n v="6"/>
    <s v="Single"/>
    <n v="3"/>
    <n v="7"/>
    <s v="Instagram"/>
    <n v="1"/>
    <s v="6.7"/>
    <s v="OK"/>
    <x v="0"/>
    <x v="0"/>
    <x v="4"/>
    <n v="3.7"/>
    <b v="1"/>
  </r>
  <r>
    <n v="597"/>
    <n v="23"/>
    <s v="Female"/>
    <s v="Graduate"/>
    <s v="Canada"/>
    <n v="4.9000000000000004"/>
    <s v="TikTok"/>
    <s v="No"/>
    <n v="7.3"/>
    <n v="7"/>
    <s v="In Relationship"/>
    <n v="2"/>
    <n v="5"/>
    <s v="Tiktok"/>
    <n v="2"/>
    <s v="7.3"/>
    <s v="OK"/>
    <x v="1"/>
    <x v="2"/>
    <x v="6"/>
    <n v="3.7"/>
    <b v="1"/>
  </r>
  <r>
    <n v="598"/>
    <n v="20"/>
    <s v="Male"/>
    <s v="Undergraduate"/>
    <s v="UK"/>
    <n v="6.4"/>
    <s v="Facebook"/>
    <s v="Yes"/>
    <n v="6.2"/>
    <n v="5"/>
    <s v="Single"/>
    <n v="4"/>
    <n v="8"/>
    <s v="Facebook"/>
    <n v="0"/>
    <s v="6.2"/>
    <s v="OK"/>
    <x v="0"/>
    <x v="0"/>
    <x v="0"/>
    <n v="3.7"/>
    <b v="1"/>
  </r>
  <r>
    <n v="599"/>
    <n v="22"/>
    <s v="Female"/>
    <s v="Graduate"/>
    <s v="Italy"/>
    <n v="5.0999999999999996"/>
    <s v="Twitter"/>
    <s v="No"/>
    <n v="7.1"/>
    <n v="7"/>
    <s v="In Relationship"/>
    <n v="2"/>
    <n v="5"/>
    <s v="Twitter"/>
    <n v="3"/>
    <s v="7.1"/>
    <s v="OK"/>
    <x v="1"/>
    <x v="2"/>
    <x v="6"/>
    <n v="3.7"/>
    <b v="1"/>
  </r>
  <r>
    <n v="600"/>
    <n v="19"/>
    <s v="Male"/>
    <s v="Undergraduate"/>
    <s v="Russia"/>
    <n v="6.7"/>
    <s v="Instagram"/>
    <s v="Yes"/>
    <n v="6"/>
    <n v="4"/>
    <s v="Single"/>
    <n v="4"/>
    <n v="8"/>
    <s v="Instagram"/>
    <n v="1"/>
    <s v="6"/>
    <s v="OK"/>
    <x v="0"/>
    <x v="0"/>
    <x v="0"/>
    <n v="3.7"/>
    <b v="1"/>
  </r>
  <r>
    <n v="601"/>
    <n v="24"/>
    <s v="Female"/>
    <s v="Graduate"/>
    <s v="China"/>
    <n v="5.5"/>
    <s v="WeChat"/>
    <s v="Yes"/>
    <n v="6.8"/>
    <n v="6"/>
    <s v="In Relationship"/>
    <n v="3"/>
    <n v="7"/>
    <s v="Wechat"/>
    <n v="1"/>
    <s v="6.8"/>
    <s v="OK"/>
    <x v="0"/>
    <x v="0"/>
    <x v="4"/>
    <n v="3.6"/>
    <b v="1"/>
  </r>
  <r>
    <n v="602"/>
    <n v="21"/>
    <s v="Male"/>
    <s v="Undergraduate"/>
    <s v="Japan"/>
    <n v="4.3"/>
    <s v="Twitter"/>
    <s v="No"/>
    <n v="7.6"/>
    <n v="8"/>
    <s v="Single"/>
    <n v="2"/>
    <n v="4"/>
    <s v="Twitter"/>
    <n v="3"/>
    <s v="7.6"/>
    <s v="OK"/>
    <x v="1"/>
    <x v="1"/>
    <x v="3"/>
    <n v="3.6"/>
    <b v="1"/>
  </r>
  <r>
    <n v="603"/>
    <n v="23"/>
    <s v="Female"/>
    <s v="Graduate"/>
    <s v="Poland"/>
    <n v="6.2"/>
    <s v="Instagram"/>
    <s v="Yes"/>
    <n v="6.4"/>
    <n v="5"/>
    <s v="Single"/>
    <n v="4"/>
    <n v="8"/>
    <s v="Instagram"/>
    <n v="1"/>
    <s v="6.4"/>
    <s v="OK"/>
    <x v="0"/>
    <x v="0"/>
    <x v="0"/>
    <n v="3.6"/>
    <b v="1"/>
  </r>
  <r>
    <n v="604"/>
    <n v="20"/>
    <s v="Male"/>
    <s v="Undergraduate"/>
    <s v="Finland"/>
    <n v="4.5"/>
    <s v="Facebook"/>
    <s v="No"/>
    <n v="7.4"/>
    <n v="7"/>
    <s v="In Relationship"/>
    <n v="2"/>
    <n v="5"/>
    <s v="Facebook"/>
    <n v="0"/>
    <s v="7.4"/>
    <s v="OK"/>
    <x v="1"/>
    <x v="2"/>
    <x v="6"/>
    <n v="3.6"/>
    <b v="1"/>
  </r>
  <r>
    <n v="605"/>
    <n v="22"/>
    <s v="Female"/>
    <s v="Graduate"/>
    <s v="Spain"/>
    <n v="6.3"/>
    <s v="TikTok"/>
    <s v="Yes"/>
    <n v="6.3"/>
    <n v="5"/>
    <s v="Single"/>
    <n v="4"/>
    <n v="8"/>
    <s v="Tiktok"/>
    <n v="2"/>
    <s v="6.3"/>
    <s v="OK"/>
    <x v="0"/>
    <x v="0"/>
    <x v="0"/>
    <n v="3.6"/>
    <b v="1"/>
  </r>
  <r>
    <n v="606"/>
    <n v="19"/>
    <s v="Male"/>
    <s v="Undergraduate"/>
    <s v="Denmark"/>
    <n v="4.7"/>
    <s v="Instagram"/>
    <s v="No"/>
    <n v="7.2"/>
    <n v="7"/>
    <s v="In Relationship"/>
    <n v="2"/>
    <n v="5"/>
    <s v="Instagram"/>
    <n v="1"/>
    <s v="7.2"/>
    <s v="OK"/>
    <x v="1"/>
    <x v="2"/>
    <x v="6"/>
    <n v="3.6"/>
    <b v="1"/>
  </r>
  <r>
    <n v="607"/>
    <n v="24"/>
    <s v="Female"/>
    <s v="Graduate"/>
    <s v="Ireland"/>
    <n v="5.9"/>
    <s v="Twitter"/>
    <s v="Yes"/>
    <n v="6.6"/>
    <n v="6"/>
    <s v="Single"/>
    <n v="3"/>
    <n v="7"/>
    <s v="Twitter"/>
    <n v="3"/>
    <s v="6.6"/>
    <s v="OK"/>
    <x v="0"/>
    <x v="0"/>
    <x v="4"/>
    <n v="3.6"/>
    <b v="1"/>
  </r>
  <r>
    <n v="608"/>
    <n v="21"/>
    <s v="Male"/>
    <s v="Undergraduate"/>
    <s v="India"/>
    <n v="7.1"/>
    <s v="Facebook"/>
    <s v="Yes"/>
    <n v="5.7"/>
    <n v="4"/>
    <s v="Single"/>
    <n v="5"/>
    <n v="9"/>
    <s v="Facebook"/>
    <n v="0"/>
    <s v="5.7"/>
    <s v="OK"/>
    <x v="0"/>
    <x v="0"/>
    <x v="2"/>
    <n v="3.6"/>
    <b v="1"/>
  </r>
  <r>
    <n v="609"/>
    <n v="23"/>
    <s v="Female"/>
    <s v="Graduate"/>
    <s v="Switzerland"/>
    <n v="4.4000000000000004"/>
    <s v="Instagram"/>
    <s v="No"/>
    <n v="7.4"/>
    <n v="7"/>
    <s v="In Relationship"/>
    <n v="2"/>
    <n v="5"/>
    <s v="Instagram"/>
    <n v="1"/>
    <s v="7.4"/>
    <s v="OK"/>
    <x v="1"/>
    <x v="2"/>
    <x v="6"/>
    <n v="3.6"/>
    <b v="1"/>
  </r>
  <r>
    <n v="610"/>
    <n v="20"/>
    <s v="Male"/>
    <s v="Undergraduate"/>
    <s v="Turkey"/>
    <n v="6.6"/>
    <s v="TikTok"/>
    <s v="Yes"/>
    <n v="6.2"/>
    <n v="5"/>
    <s v="Single"/>
    <n v="4"/>
    <n v="8"/>
    <s v="Tiktok"/>
    <n v="2"/>
    <s v="6.2"/>
    <s v="OK"/>
    <x v="0"/>
    <x v="0"/>
    <x v="0"/>
    <n v="3.6"/>
    <b v="1"/>
  </r>
  <r>
    <n v="611"/>
    <n v="22"/>
    <s v="Female"/>
    <s v="Graduate"/>
    <s v="USA"/>
    <n v="5.4"/>
    <s v="Instagram"/>
    <s v="Yes"/>
    <n v="6.9"/>
    <n v="6"/>
    <s v="In Relationship"/>
    <n v="3"/>
    <n v="7"/>
    <s v="Instagram"/>
    <n v="1"/>
    <s v="6.9"/>
    <s v="OK"/>
    <x v="0"/>
    <x v="0"/>
    <x v="4"/>
    <n v="3.6"/>
    <b v="1"/>
  </r>
  <r>
    <n v="612"/>
    <n v="19"/>
    <s v="Male"/>
    <s v="Undergraduate"/>
    <s v="Mexico"/>
    <n v="6.5"/>
    <s v="Facebook"/>
    <s v="Yes"/>
    <n v="6.1"/>
    <n v="5"/>
    <s v="Single"/>
    <n v="4"/>
    <n v="8"/>
    <s v="Facebook"/>
    <n v="0"/>
    <s v="6.1"/>
    <s v="OK"/>
    <x v="0"/>
    <x v="0"/>
    <x v="0"/>
    <n v="3.6"/>
    <b v="1"/>
  </r>
  <r>
    <n v="613"/>
    <n v="24"/>
    <s v="Female"/>
    <s v="Graduate"/>
    <s v="France"/>
    <n v="4.8"/>
    <s v="Twitter"/>
    <s v="No"/>
    <n v="7.3"/>
    <n v="7"/>
    <s v="In Relationship"/>
    <n v="2"/>
    <n v="5"/>
    <s v="Twitter"/>
    <n v="3"/>
    <s v="7.3"/>
    <s v="OK"/>
    <x v="1"/>
    <x v="2"/>
    <x v="6"/>
    <n v="3.6"/>
    <b v="1"/>
  </r>
  <r>
    <n v="614"/>
    <n v="21"/>
    <s v="Male"/>
    <s v="Undergraduate"/>
    <s v="Canada"/>
    <n v="5.7"/>
    <s v="Instagram"/>
    <s v="Yes"/>
    <n v="6.7"/>
    <n v="6"/>
    <s v="Single"/>
    <n v="3"/>
    <n v="7"/>
    <s v="Instagram"/>
    <n v="1"/>
    <s v="6.7"/>
    <s v="OK"/>
    <x v="0"/>
    <x v="0"/>
    <x v="4"/>
    <n v="3.5"/>
    <b v="1"/>
  </r>
  <r>
    <n v="615"/>
    <n v="23"/>
    <s v="Female"/>
    <s v="Graduate"/>
    <s v="UK"/>
    <n v="6.1"/>
    <s v="TikTok"/>
    <s v="Yes"/>
    <n v="6.4"/>
    <n v="5"/>
    <s v="Single"/>
    <n v="4"/>
    <n v="8"/>
    <s v="Tiktok"/>
    <n v="2"/>
    <s v="6.4"/>
    <s v="OK"/>
    <x v="0"/>
    <x v="0"/>
    <x v="0"/>
    <n v="3.5"/>
    <b v="1"/>
  </r>
  <r>
    <n v="616"/>
    <n v="20"/>
    <s v="Male"/>
    <s v="Undergraduate"/>
    <s v="Italy"/>
    <n v="4.5999999999999996"/>
    <s v="Facebook"/>
    <s v="No"/>
    <n v="7.2"/>
    <n v="7"/>
    <s v="In Relationship"/>
    <n v="2"/>
    <n v="5"/>
    <s v="Facebook"/>
    <n v="0"/>
    <s v="7.2"/>
    <s v="OK"/>
    <x v="1"/>
    <x v="2"/>
    <x v="6"/>
    <n v="3.5"/>
    <b v="1"/>
  </r>
  <r>
    <n v="617"/>
    <n v="22"/>
    <s v="Female"/>
    <s v="Graduate"/>
    <s v="Russia"/>
    <n v="6.8"/>
    <s v="Instagram"/>
    <s v="Yes"/>
    <n v="5.9"/>
    <n v="4"/>
    <s v="Single"/>
    <n v="5"/>
    <n v="9"/>
    <s v="Instagram"/>
    <n v="1"/>
    <s v="5.9"/>
    <s v="OK"/>
    <x v="0"/>
    <x v="0"/>
    <x v="2"/>
    <n v="3.5"/>
    <b v="1"/>
  </r>
  <r>
    <n v="618"/>
    <n v="19"/>
    <s v="Male"/>
    <s v="Undergraduate"/>
    <s v="China"/>
    <n v="5.6"/>
    <s v="WeChat"/>
    <s v="Yes"/>
    <n v="6.8"/>
    <n v="6"/>
    <s v="In Relationship"/>
    <n v="3"/>
    <n v="7"/>
    <s v="Wechat"/>
    <n v="1"/>
    <s v="6.8"/>
    <s v="OK"/>
    <x v="0"/>
    <x v="0"/>
    <x v="4"/>
    <n v="3.5"/>
    <b v="1"/>
  </r>
  <r>
    <n v="619"/>
    <n v="24"/>
    <s v="Female"/>
    <s v="Graduate"/>
    <s v="Japan"/>
    <n v="4.2"/>
    <s v="Twitter"/>
    <s v="No"/>
    <n v="7.5"/>
    <n v="8"/>
    <s v="Single"/>
    <n v="2"/>
    <n v="4"/>
    <s v="Twitter"/>
    <n v="3"/>
    <s v="7.5"/>
    <s v="OK"/>
    <x v="1"/>
    <x v="1"/>
    <x v="3"/>
    <n v="3.5"/>
    <b v="1"/>
  </r>
  <r>
    <n v="620"/>
    <n v="21"/>
    <s v="Male"/>
    <s v="Undergraduate"/>
    <s v="Poland"/>
    <n v="6.3"/>
    <s v="TikTok"/>
    <s v="Yes"/>
    <n v="6.3"/>
    <n v="5"/>
    <s v="Single"/>
    <n v="4"/>
    <n v="8"/>
    <s v="Tiktok"/>
    <n v="2"/>
    <s v="6.3"/>
    <s v="OK"/>
    <x v="0"/>
    <x v="0"/>
    <x v="0"/>
    <n v="3.5"/>
    <b v="1"/>
  </r>
  <r>
    <n v="621"/>
    <n v="23"/>
    <s v="Female"/>
    <s v="Graduate"/>
    <s v="Finland"/>
    <n v="4.4000000000000004"/>
    <s v="Instagram"/>
    <s v="No"/>
    <n v="7.4"/>
    <n v="7"/>
    <s v="In Relationship"/>
    <n v="2"/>
    <n v="5"/>
    <s v="Instagram"/>
    <n v="1"/>
    <s v="7.4"/>
    <s v="OK"/>
    <x v="1"/>
    <x v="2"/>
    <x v="6"/>
    <n v="3.5"/>
    <b v="1"/>
  </r>
  <r>
    <n v="622"/>
    <n v="20"/>
    <s v="Male"/>
    <s v="Undergraduate"/>
    <s v="Spain"/>
    <n v="6.5"/>
    <s v="Facebook"/>
    <s v="Yes"/>
    <n v="6.2"/>
    <n v="5"/>
    <s v="Single"/>
    <n v="4"/>
    <n v="8"/>
    <s v="Facebook"/>
    <n v="0"/>
    <s v="6.2"/>
    <s v="OK"/>
    <x v="0"/>
    <x v="0"/>
    <x v="0"/>
    <n v="3.5"/>
    <b v="1"/>
  </r>
  <r>
    <n v="623"/>
    <n v="22"/>
    <s v="Female"/>
    <s v="Graduate"/>
    <s v="Denmark"/>
    <n v="4.5999999999999996"/>
    <s v="Twitter"/>
    <s v="No"/>
    <n v="7.3"/>
    <n v="7"/>
    <s v="In Relationship"/>
    <n v="2"/>
    <n v="5"/>
    <s v="Twitter"/>
    <n v="3"/>
    <s v="7.3"/>
    <s v="OK"/>
    <x v="1"/>
    <x v="2"/>
    <x v="6"/>
    <n v="3.5"/>
    <b v="1"/>
  </r>
  <r>
    <n v="624"/>
    <n v="19"/>
    <s v="Male"/>
    <s v="Undergraduate"/>
    <s v="Ireland"/>
    <n v="5.8"/>
    <s v="Instagram"/>
    <s v="Yes"/>
    <n v="6.6"/>
    <n v="6"/>
    <s v="Single"/>
    <n v="3"/>
    <n v="7"/>
    <s v="Instagram"/>
    <n v="1"/>
    <s v="6.6"/>
    <s v="OK"/>
    <x v="0"/>
    <x v="0"/>
    <x v="4"/>
    <n v="3.4"/>
    <b v="1"/>
  </r>
  <r>
    <n v="625"/>
    <n v="24"/>
    <s v="Female"/>
    <s v="Graduate"/>
    <s v="India"/>
    <n v="7"/>
    <s v="TikTok"/>
    <s v="Yes"/>
    <n v="5.8"/>
    <n v="4"/>
    <s v="Single"/>
    <n v="5"/>
    <n v="9"/>
    <s v="Tiktok"/>
    <n v="2"/>
    <s v="5.8"/>
    <s v="OK"/>
    <x v="0"/>
    <x v="0"/>
    <x v="2"/>
    <n v="3.4"/>
    <b v="1"/>
  </r>
  <r>
    <n v="626"/>
    <n v="21"/>
    <s v="Male"/>
    <s v="Undergraduate"/>
    <s v="Switzerland"/>
    <n v="4.5"/>
    <s v="Facebook"/>
    <s v="No"/>
    <n v="7.3"/>
    <n v="7"/>
    <s v="In Relationship"/>
    <n v="2"/>
    <n v="5"/>
    <s v="Facebook"/>
    <n v="0"/>
    <s v="7.3"/>
    <s v="OK"/>
    <x v="1"/>
    <x v="2"/>
    <x v="6"/>
    <n v="3.4"/>
    <b v="1"/>
  </r>
  <r>
    <n v="627"/>
    <n v="23"/>
    <s v="Female"/>
    <s v="Graduate"/>
    <s v="Turkey"/>
    <n v="6.7"/>
    <s v="Instagram"/>
    <s v="Yes"/>
    <n v="6.1"/>
    <n v="5"/>
    <s v="Single"/>
    <n v="4"/>
    <n v="8"/>
    <s v="Instagram"/>
    <n v="1"/>
    <s v="6.1"/>
    <s v="OK"/>
    <x v="0"/>
    <x v="0"/>
    <x v="0"/>
    <n v="3.4"/>
    <b v="1"/>
  </r>
  <r>
    <n v="628"/>
    <n v="20"/>
    <s v="Male"/>
    <s v="Undergraduate"/>
    <s v="USA"/>
    <n v="5.5"/>
    <s v="Twitter"/>
    <s v="Yes"/>
    <n v="6.8"/>
    <n v="6"/>
    <s v="In Relationship"/>
    <n v="3"/>
    <n v="7"/>
    <s v="Twitter"/>
    <n v="3"/>
    <s v="6.8"/>
    <s v="OK"/>
    <x v="0"/>
    <x v="0"/>
    <x v="4"/>
    <n v="3.4"/>
    <b v="1"/>
  </r>
  <r>
    <n v="629"/>
    <n v="22"/>
    <s v="Female"/>
    <s v="Graduate"/>
    <s v="Mexico"/>
    <n v="6.4"/>
    <s v="Facebook"/>
    <s v="Yes"/>
    <n v="6.2"/>
    <n v="5"/>
    <s v="Single"/>
    <n v="4"/>
    <n v="8"/>
    <s v="Facebook"/>
    <n v="0"/>
    <s v="6.2"/>
    <s v="OK"/>
    <x v="0"/>
    <x v="0"/>
    <x v="0"/>
    <n v="3.4"/>
    <b v="1"/>
  </r>
  <r>
    <n v="630"/>
    <n v="19"/>
    <s v="Male"/>
    <s v="Undergraduate"/>
    <s v="France"/>
    <n v="4.7"/>
    <s v="Instagram"/>
    <s v="No"/>
    <n v="7.2"/>
    <n v="7"/>
    <s v="In Relationship"/>
    <n v="2"/>
    <n v="5"/>
    <s v="Instagram"/>
    <n v="1"/>
    <s v="7.2"/>
    <s v="OK"/>
    <x v="1"/>
    <x v="2"/>
    <x v="6"/>
    <n v="3.4"/>
    <b v="1"/>
  </r>
  <r>
    <n v="631"/>
    <n v="24"/>
    <s v="Female"/>
    <s v="Graduate"/>
    <s v="Canada"/>
    <n v="5.6"/>
    <s v="TikTok"/>
    <s v="Yes"/>
    <n v="6.7"/>
    <n v="6"/>
    <s v="Single"/>
    <n v="3"/>
    <n v="7"/>
    <s v="Tiktok"/>
    <n v="2"/>
    <s v="6.7"/>
    <s v="OK"/>
    <x v="0"/>
    <x v="0"/>
    <x v="4"/>
    <n v="3.4"/>
    <b v="1"/>
  </r>
  <r>
    <n v="632"/>
    <n v="21"/>
    <s v="Male"/>
    <s v="Undergraduate"/>
    <s v="UK"/>
    <n v="6.2"/>
    <s v="Facebook"/>
    <s v="Yes"/>
    <n v="6.3"/>
    <n v="5"/>
    <s v="Single"/>
    <n v="4"/>
    <n v="8"/>
    <s v="Facebook"/>
    <n v="0"/>
    <s v="6.3"/>
    <s v="OK"/>
    <x v="0"/>
    <x v="0"/>
    <x v="0"/>
    <n v="3.3"/>
    <b v="1"/>
  </r>
  <r>
    <n v="633"/>
    <n v="23"/>
    <s v="Female"/>
    <s v="Graduate"/>
    <s v="Italy"/>
    <n v="4.8"/>
    <s v="Twitter"/>
    <s v="No"/>
    <n v="7.1"/>
    <n v="7"/>
    <s v="In Relationship"/>
    <n v="2"/>
    <n v="5"/>
    <s v="Twitter"/>
    <n v="3"/>
    <s v="7.1"/>
    <s v="OK"/>
    <x v="1"/>
    <x v="2"/>
    <x v="6"/>
    <n v="3.3"/>
    <b v="1"/>
  </r>
  <r>
    <n v="634"/>
    <n v="20"/>
    <s v="Male"/>
    <s v="Undergraduate"/>
    <s v="Russia"/>
    <n v="6.9"/>
    <s v="Instagram"/>
    <s v="Yes"/>
    <n v="5.9"/>
    <n v="4"/>
    <s v="Single"/>
    <n v="5"/>
    <n v="9"/>
    <s v="Instagram"/>
    <n v="1"/>
    <s v="5.9"/>
    <s v="OK"/>
    <x v="0"/>
    <x v="0"/>
    <x v="2"/>
    <n v="3.3"/>
    <b v="1"/>
  </r>
  <r>
    <n v="635"/>
    <n v="22"/>
    <s v="Female"/>
    <s v="Graduate"/>
    <s v="China"/>
    <n v="5.7"/>
    <s v="WeChat"/>
    <s v="Yes"/>
    <n v="6.7"/>
    <n v="6"/>
    <s v="In Relationship"/>
    <n v="3"/>
    <n v="7"/>
    <s v="Wechat"/>
    <n v="1"/>
    <s v="6.7"/>
    <s v="OK"/>
    <x v="0"/>
    <x v="0"/>
    <x v="4"/>
    <n v="3.3"/>
    <b v="1"/>
  </r>
  <r>
    <n v="636"/>
    <n v="19"/>
    <s v="Male"/>
    <s v="Undergraduate"/>
    <s v="Japan"/>
    <n v="4.4000000000000004"/>
    <s v="Twitter"/>
    <s v="No"/>
    <n v="7.4"/>
    <n v="8"/>
    <s v="Single"/>
    <n v="2"/>
    <n v="4"/>
    <s v="Twitter"/>
    <n v="3"/>
    <s v="7.4"/>
    <s v="OK"/>
    <x v="1"/>
    <x v="1"/>
    <x v="3"/>
    <n v="3.3"/>
    <b v="1"/>
  </r>
  <r>
    <n v="637"/>
    <n v="24"/>
    <s v="Female"/>
    <s v="Graduate"/>
    <s v="Poland"/>
    <n v="6.1"/>
    <s v="TikTok"/>
    <s v="Yes"/>
    <n v="6.4"/>
    <n v="5"/>
    <s v="Single"/>
    <n v="4"/>
    <n v="8"/>
    <s v="Tiktok"/>
    <n v="2"/>
    <s v="6.4"/>
    <s v="OK"/>
    <x v="0"/>
    <x v="0"/>
    <x v="0"/>
    <n v="3.3"/>
    <b v="1"/>
  </r>
  <r>
    <n v="638"/>
    <n v="21"/>
    <s v="Male"/>
    <s v="Undergraduate"/>
    <s v="Finland"/>
    <n v="4.3"/>
    <s v="Instagram"/>
    <s v="No"/>
    <n v="7.5"/>
    <n v="7"/>
    <s v="In Relationship"/>
    <n v="2"/>
    <n v="5"/>
    <s v="Instagram"/>
    <n v="1"/>
    <s v="7.5"/>
    <s v="OK"/>
    <x v="1"/>
    <x v="2"/>
    <x v="6"/>
    <n v="3.3"/>
    <b v="1"/>
  </r>
  <r>
    <n v="639"/>
    <n v="23"/>
    <s v="Female"/>
    <s v="Graduate"/>
    <s v="Spain"/>
    <n v="6.4"/>
    <s v="Facebook"/>
    <s v="Yes"/>
    <n v="6.2"/>
    <n v="5"/>
    <s v="Single"/>
    <n v="4"/>
    <n v="8"/>
    <s v="Facebook"/>
    <n v="0"/>
    <s v="6.2"/>
    <s v="OK"/>
    <x v="0"/>
    <x v="0"/>
    <x v="0"/>
    <n v="3.3"/>
    <b v="1"/>
  </r>
  <r>
    <n v="640"/>
    <n v="20"/>
    <s v="Male"/>
    <s v="Undergraduate"/>
    <s v="Denmark"/>
    <n v="4.5"/>
    <s v="Twitter"/>
    <s v="No"/>
    <n v="7.3"/>
    <n v="7"/>
    <s v="In Relationship"/>
    <n v="2"/>
    <n v="5"/>
    <s v="Twitter"/>
    <n v="3"/>
    <s v="7.3"/>
    <s v="OK"/>
    <x v="1"/>
    <x v="2"/>
    <x v="6"/>
    <n v="3.3"/>
    <b v="1"/>
  </r>
  <r>
    <n v="641"/>
    <n v="22"/>
    <s v="Female"/>
    <s v="Graduate"/>
    <s v="Ireland"/>
    <n v="5.9"/>
    <s v="Instagram"/>
    <s v="Yes"/>
    <n v="6.5"/>
    <n v="6"/>
    <s v="Single"/>
    <n v="3"/>
    <n v="7"/>
    <s v="Instagram"/>
    <n v="1"/>
    <s v="6.5"/>
    <s v="OK"/>
    <x v="0"/>
    <x v="0"/>
    <x v="4"/>
    <n v="3.2"/>
    <b v="1"/>
  </r>
  <r>
    <n v="642"/>
    <n v="19"/>
    <s v="Male"/>
    <s v="Undergraduate"/>
    <s v="India"/>
    <n v="7.2"/>
    <s v="TikTok"/>
    <s v="Yes"/>
    <n v="5.7"/>
    <n v="4"/>
    <s v="Single"/>
    <n v="5"/>
    <n v="9"/>
    <s v="Tiktok"/>
    <n v="2"/>
    <s v="5.7"/>
    <s v="OK"/>
    <x v="0"/>
    <x v="0"/>
    <x v="2"/>
    <n v="3.2"/>
    <b v="1"/>
  </r>
  <r>
    <n v="643"/>
    <n v="24"/>
    <s v="Female"/>
    <s v="Graduate"/>
    <s v="Switzerland"/>
    <n v="4.5999999999999996"/>
    <s v="Facebook"/>
    <s v="No"/>
    <n v="7.2"/>
    <n v="7"/>
    <s v="In Relationship"/>
    <n v="2"/>
    <n v="5"/>
    <s v="Facebook"/>
    <n v="0"/>
    <s v="7.2"/>
    <s v="OK"/>
    <x v="1"/>
    <x v="2"/>
    <x v="6"/>
    <n v="3.2"/>
    <b v="1"/>
  </r>
  <r>
    <n v="644"/>
    <n v="21"/>
    <s v="Male"/>
    <s v="Undergraduate"/>
    <s v="Turkey"/>
    <n v="6.8"/>
    <s v="Instagram"/>
    <s v="Yes"/>
    <n v="6"/>
    <n v="5"/>
    <s v="Single"/>
    <n v="4"/>
    <n v="8"/>
    <s v="Instagram"/>
    <n v="1"/>
    <s v="6"/>
    <s v="OK"/>
    <x v="0"/>
    <x v="0"/>
    <x v="0"/>
    <n v="3.2"/>
    <b v="1"/>
  </r>
  <r>
    <n v="645"/>
    <n v="23"/>
    <s v="Female"/>
    <s v="Graduate"/>
    <s v="USA"/>
    <n v="5.3"/>
    <s v="Twitter"/>
    <s v="Yes"/>
    <n v="6.8"/>
    <n v="6"/>
    <s v="In Relationship"/>
    <n v="3"/>
    <n v="7"/>
    <s v="Twitter"/>
    <n v="3"/>
    <s v="6.8"/>
    <s v="OK"/>
    <x v="0"/>
    <x v="0"/>
    <x v="4"/>
    <n v="3.2"/>
    <b v="1"/>
  </r>
  <r>
    <n v="646"/>
    <n v="22"/>
    <s v="Male"/>
    <s v="Graduate"/>
    <s v="Mexico"/>
    <n v="6.3"/>
    <s v="Facebook"/>
    <s v="Yes"/>
    <n v="6.2"/>
    <n v="5"/>
    <s v="Single"/>
    <n v="4"/>
    <n v="8"/>
    <s v="Facebook"/>
    <n v="0"/>
    <s v="6.2"/>
    <s v="OK"/>
    <x v="0"/>
    <x v="0"/>
    <x v="0"/>
    <n v="3.2"/>
    <b v="1"/>
  </r>
  <r>
    <n v="647"/>
    <n v="20"/>
    <s v="Female"/>
    <s v="Undergraduate"/>
    <s v="France"/>
    <n v="4.8"/>
    <s v="Instagram"/>
    <s v="No"/>
    <n v="7.1"/>
    <n v="7"/>
    <s v="In Relationship"/>
    <n v="2"/>
    <n v="5"/>
    <s v="Instagram"/>
    <n v="1"/>
    <s v="7.1"/>
    <s v="OK"/>
    <x v="1"/>
    <x v="2"/>
    <x v="6"/>
    <n v="3.2"/>
    <b v="1"/>
  </r>
  <r>
    <n v="648"/>
    <n v="23"/>
    <s v="Male"/>
    <s v="Graduate"/>
    <s v="Canada"/>
    <n v="5.7"/>
    <s v="TikTok"/>
    <s v="Yes"/>
    <n v="6.6"/>
    <n v="6"/>
    <s v="Single"/>
    <n v="3"/>
    <n v="7"/>
    <s v="Tiktok"/>
    <n v="2"/>
    <s v="6.6"/>
    <s v="OK"/>
    <x v="0"/>
    <x v="0"/>
    <x v="4"/>
    <n v="3.2"/>
    <b v="1"/>
  </r>
  <r>
    <n v="649"/>
    <n v="21"/>
    <s v="Female"/>
    <s v="Undergraduate"/>
    <s v="UK"/>
    <n v="6.2"/>
    <s v="Twitter"/>
    <s v="Yes"/>
    <n v="6.3"/>
    <n v="5"/>
    <s v="Single"/>
    <n v="4"/>
    <n v="8"/>
    <s v="Twitter"/>
    <n v="3"/>
    <s v="6.3"/>
    <s v="OK"/>
    <x v="0"/>
    <x v="0"/>
    <x v="0"/>
    <n v="3.2"/>
    <b v="1"/>
  </r>
  <r>
    <n v="650"/>
    <n v="24"/>
    <s v="Male"/>
    <s v="Graduate"/>
    <s v="Italy"/>
    <n v="4.7"/>
    <s v="Facebook"/>
    <s v="No"/>
    <n v="7.2"/>
    <n v="7"/>
    <s v="In Relationship"/>
    <n v="2"/>
    <n v="5"/>
    <s v="Facebook"/>
    <n v="0"/>
    <s v="7.2"/>
    <s v="OK"/>
    <x v="1"/>
    <x v="2"/>
    <x v="6"/>
    <n v="3.1"/>
    <b v="1"/>
  </r>
  <r>
    <n v="651"/>
    <n v="19"/>
    <s v="Female"/>
    <s v="Undergraduate"/>
    <s v="Russia"/>
    <n v="6.8"/>
    <s v="Instagram"/>
    <s v="Yes"/>
    <n v="5.9"/>
    <n v="4"/>
    <s v="Single"/>
    <n v="5"/>
    <n v="9"/>
    <s v="Instagram"/>
    <n v="1"/>
    <s v="5.9"/>
    <s v="OK"/>
    <x v="0"/>
    <x v="0"/>
    <x v="2"/>
    <n v="3.1"/>
    <b v="1"/>
  </r>
  <r>
    <n v="652"/>
    <n v="22"/>
    <s v="Male"/>
    <s v="Graduate"/>
    <s v="China"/>
    <n v="5.6"/>
    <s v="WeChat"/>
    <s v="Yes"/>
    <n v="6.7"/>
    <n v="6"/>
    <s v="In Relationship"/>
    <n v="3"/>
    <n v="7"/>
    <s v="Wechat"/>
    <n v="1"/>
    <s v="6.7"/>
    <s v="OK"/>
    <x v="0"/>
    <x v="0"/>
    <x v="4"/>
    <n v="3.1"/>
    <b v="1"/>
  </r>
  <r>
    <n v="653"/>
    <n v="20"/>
    <s v="Female"/>
    <s v="Undergraduate"/>
    <s v="Japan"/>
    <n v="4.3"/>
    <s v="Twitter"/>
    <s v="No"/>
    <n v="7.5"/>
    <n v="8"/>
    <s v="Single"/>
    <n v="2"/>
    <n v="4"/>
    <s v="Twitter"/>
    <n v="3"/>
    <s v="7.5"/>
    <s v="OK"/>
    <x v="1"/>
    <x v="1"/>
    <x v="3"/>
    <n v="3.1"/>
    <b v="1"/>
  </r>
  <r>
    <n v="654"/>
    <n v="23"/>
    <s v="Male"/>
    <s v="Graduate"/>
    <s v="Poland"/>
    <n v="6.2"/>
    <s v="TikTok"/>
    <s v="Yes"/>
    <n v="6.3"/>
    <n v="5"/>
    <s v="Single"/>
    <n v="4"/>
    <n v="8"/>
    <s v="Tiktok"/>
    <n v="2"/>
    <s v="6.3"/>
    <s v="OK"/>
    <x v="0"/>
    <x v="0"/>
    <x v="0"/>
    <n v="3.1"/>
    <b v="1"/>
  </r>
  <r>
    <n v="655"/>
    <n v="21"/>
    <s v="Female"/>
    <s v="Undergraduate"/>
    <s v="Finland"/>
    <n v="4.4000000000000004"/>
    <s v="Instagram"/>
    <s v="No"/>
    <n v="7.4"/>
    <n v="7"/>
    <s v="In Relationship"/>
    <n v="2"/>
    <n v="5"/>
    <s v="Instagram"/>
    <n v="1"/>
    <s v="7.4"/>
    <s v="OK"/>
    <x v="1"/>
    <x v="2"/>
    <x v="6"/>
    <n v="3.1"/>
    <b v="1"/>
  </r>
  <r>
    <n v="656"/>
    <n v="24"/>
    <s v="Male"/>
    <s v="Graduate"/>
    <s v="Spain"/>
    <n v="6.5"/>
    <s v="Facebook"/>
    <s v="Yes"/>
    <n v="6.1"/>
    <n v="5"/>
    <s v="Single"/>
    <n v="4"/>
    <n v="8"/>
    <s v="Facebook"/>
    <n v="0"/>
    <s v="6.1"/>
    <s v="OK"/>
    <x v="0"/>
    <x v="0"/>
    <x v="0"/>
    <n v="3.1"/>
    <b v="1"/>
  </r>
  <r>
    <n v="657"/>
    <n v="19"/>
    <s v="Female"/>
    <s v="Undergraduate"/>
    <s v="Denmark"/>
    <n v="4.5999999999999996"/>
    <s v="Twitter"/>
    <s v="No"/>
    <n v="7.3"/>
    <n v="7"/>
    <s v="In Relationship"/>
    <n v="2"/>
    <n v="5"/>
    <s v="Twitter"/>
    <n v="3"/>
    <s v="7.3"/>
    <s v="OK"/>
    <x v="1"/>
    <x v="2"/>
    <x v="6"/>
    <n v="3"/>
    <b v="1"/>
  </r>
  <r>
    <n v="658"/>
    <n v="22"/>
    <s v="Male"/>
    <s v="Graduate"/>
    <s v="Ireland"/>
    <n v="5.8"/>
    <s v="Instagram"/>
    <s v="Yes"/>
    <n v="6.6"/>
    <n v="6"/>
    <s v="Single"/>
    <n v="3"/>
    <n v="7"/>
    <s v="Instagram"/>
    <n v="1"/>
    <s v="6.6"/>
    <s v="OK"/>
    <x v="0"/>
    <x v="0"/>
    <x v="4"/>
    <n v="3"/>
    <b v="1"/>
  </r>
  <r>
    <n v="659"/>
    <n v="20"/>
    <s v="Female"/>
    <s v="Undergraduate"/>
    <s v="India"/>
    <n v="7.1"/>
    <s v="TikTok"/>
    <s v="Yes"/>
    <n v="5.8"/>
    <n v="4"/>
    <s v="Single"/>
    <n v="5"/>
    <n v="9"/>
    <s v="Tiktok"/>
    <n v="2"/>
    <s v="5.8"/>
    <s v="OK"/>
    <x v="0"/>
    <x v="0"/>
    <x v="2"/>
    <n v="3"/>
    <b v="1"/>
  </r>
  <r>
    <n v="660"/>
    <n v="23"/>
    <s v="Male"/>
    <s v="Graduate"/>
    <s v="Switzerland"/>
    <n v="4.5"/>
    <s v="Facebook"/>
    <s v="No"/>
    <n v="7.3"/>
    <n v="7"/>
    <s v="In Relationship"/>
    <n v="2"/>
    <n v="5"/>
    <s v="Facebook"/>
    <n v="0"/>
    <s v="7.3"/>
    <s v="OK"/>
    <x v="1"/>
    <x v="2"/>
    <x v="6"/>
    <n v="3"/>
    <b v="1"/>
  </r>
  <r>
    <n v="661"/>
    <n v="21"/>
    <s v="Female"/>
    <s v="Undergraduate"/>
    <s v="Turkey"/>
    <n v="6.7"/>
    <s v="Instagram"/>
    <s v="Yes"/>
    <n v="6"/>
    <n v="5"/>
    <s v="Single"/>
    <n v="4"/>
    <n v="8"/>
    <s v="Instagram"/>
    <n v="1"/>
    <s v="6"/>
    <s v="OK"/>
    <x v="0"/>
    <x v="0"/>
    <x v="0"/>
    <n v="3"/>
    <b v="1"/>
  </r>
  <r>
    <n v="662"/>
    <n v="24"/>
    <s v="Male"/>
    <s v="Graduate"/>
    <s v="USA"/>
    <n v="5.4"/>
    <s v="Twitter"/>
    <s v="Yes"/>
    <n v="6.8"/>
    <n v="6"/>
    <s v="In Relationship"/>
    <n v="3"/>
    <n v="7"/>
    <s v="Twitter"/>
    <n v="3"/>
    <s v="6.8"/>
    <s v="OK"/>
    <x v="0"/>
    <x v="0"/>
    <x v="4"/>
    <n v="3"/>
    <b v="1"/>
  </r>
  <r>
    <n v="663"/>
    <n v="19"/>
    <s v="Female"/>
    <s v="Undergraduate"/>
    <s v="Mexico"/>
    <n v="6.4"/>
    <s v="TikTok"/>
    <s v="Yes"/>
    <n v="6.2"/>
    <n v="5"/>
    <s v="Single"/>
    <n v="4"/>
    <n v="8"/>
    <s v="Tiktok"/>
    <n v="2"/>
    <s v="6.2"/>
    <s v="OK"/>
    <x v="0"/>
    <x v="0"/>
    <x v="0"/>
    <n v="2.9"/>
    <b v="1"/>
  </r>
  <r>
    <n v="664"/>
    <n v="22"/>
    <s v="Male"/>
    <s v="Graduate"/>
    <s v="France"/>
    <n v="4.7"/>
    <s v="Facebook"/>
    <s v="No"/>
    <n v="7.2"/>
    <n v="7"/>
    <s v="In Relationship"/>
    <n v="2"/>
    <n v="5"/>
    <s v="Facebook"/>
    <n v="0"/>
    <s v="7.2"/>
    <s v="OK"/>
    <x v="1"/>
    <x v="2"/>
    <x v="6"/>
    <n v="2.9"/>
    <b v="1"/>
  </r>
  <r>
    <n v="665"/>
    <n v="20"/>
    <s v="Female"/>
    <s v="Undergraduate"/>
    <s v="Canada"/>
    <n v="5.6"/>
    <s v="Instagram"/>
    <s v="Yes"/>
    <n v="6.7"/>
    <n v="6"/>
    <s v="Single"/>
    <n v="3"/>
    <n v="7"/>
    <s v="Instagram"/>
    <n v="1"/>
    <s v="6.7"/>
    <s v="OK"/>
    <x v="0"/>
    <x v="0"/>
    <x v="4"/>
    <n v="2.9"/>
    <b v="1"/>
  </r>
  <r>
    <n v="666"/>
    <n v="23"/>
    <s v="Male"/>
    <s v="Graduate"/>
    <s v="UK"/>
    <n v="6.3"/>
    <s v="Twitter"/>
    <s v="Yes"/>
    <n v="6.2"/>
    <n v="5"/>
    <s v="Single"/>
    <n v="4"/>
    <n v="8"/>
    <s v="Twitter"/>
    <n v="3"/>
    <s v="6.2"/>
    <s v="OK"/>
    <x v="0"/>
    <x v="0"/>
    <x v="0"/>
    <n v="2.9"/>
    <b v="1"/>
  </r>
  <r>
    <n v="667"/>
    <n v="21"/>
    <s v="Female"/>
    <s v="Undergraduate"/>
    <s v="Italy"/>
    <n v="4.8"/>
    <s v="TikTok"/>
    <s v="No"/>
    <n v="7.1"/>
    <n v="7"/>
    <s v="In Relationship"/>
    <n v="2"/>
    <n v="5"/>
    <s v="Tiktok"/>
    <n v="2"/>
    <s v="7.1"/>
    <s v="OK"/>
    <x v="1"/>
    <x v="2"/>
    <x v="6"/>
    <n v="2.9"/>
    <b v="1"/>
  </r>
  <r>
    <n v="668"/>
    <n v="24"/>
    <s v="Male"/>
    <s v="Graduate"/>
    <s v="Russia"/>
    <n v="6.9"/>
    <s v="Instagram"/>
    <s v="Yes"/>
    <n v="5.9"/>
    <n v="4"/>
    <s v="Single"/>
    <n v="5"/>
    <n v="9"/>
    <s v="Instagram"/>
    <n v="1"/>
    <s v="5.9"/>
    <s v="OK"/>
    <x v="0"/>
    <x v="0"/>
    <x v="2"/>
    <n v="2.9"/>
    <b v="1"/>
  </r>
  <r>
    <n v="669"/>
    <n v="19"/>
    <s v="Female"/>
    <s v="Undergraduate"/>
    <s v="China"/>
    <n v="5.7"/>
    <s v="WeChat"/>
    <s v="Yes"/>
    <n v="6.7"/>
    <n v="6"/>
    <s v="In Relationship"/>
    <n v="3"/>
    <n v="7"/>
    <s v="Wechat"/>
    <n v="1"/>
    <s v="6.7"/>
    <s v="OK"/>
    <x v="0"/>
    <x v="0"/>
    <x v="4"/>
    <n v="2.9"/>
    <b v="1"/>
  </r>
  <r>
    <n v="670"/>
    <n v="22"/>
    <s v="Male"/>
    <s v="Graduate"/>
    <s v="Japan"/>
    <n v="4.4000000000000004"/>
    <s v="Twitter"/>
    <s v="No"/>
    <n v="7.4"/>
    <n v="8"/>
    <s v="Single"/>
    <n v="2"/>
    <n v="4"/>
    <s v="Twitter"/>
    <n v="3"/>
    <s v="7.4"/>
    <s v="OK"/>
    <x v="1"/>
    <x v="1"/>
    <x v="3"/>
    <n v="2.8"/>
    <b v="1"/>
  </r>
  <r>
    <n v="671"/>
    <n v="20"/>
    <s v="Female"/>
    <s v="Undergraduate"/>
    <s v="Poland"/>
    <n v="6.1"/>
    <s v="Facebook"/>
    <s v="Yes"/>
    <n v="6.4"/>
    <n v="5"/>
    <s v="Single"/>
    <n v="4"/>
    <n v="8"/>
    <s v="Facebook"/>
    <n v="0"/>
    <s v="6.4"/>
    <s v="OK"/>
    <x v="0"/>
    <x v="0"/>
    <x v="0"/>
    <n v="2.8"/>
    <b v="1"/>
  </r>
  <r>
    <n v="672"/>
    <n v="23"/>
    <s v="Male"/>
    <s v="Graduate"/>
    <s v="Finland"/>
    <n v="4.3"/>
    <s v="Instagram"/>
    <s v="No"/>
    <n v="7.5"/>
    <n v="7"/>
    <s v="In Relationship"/>
    <n v="2"/>
    <n v="5"/>
    <s v="Instagram"/>
    <n v="1"/>
    <s v="7.5"/>
    <s v="OK"/>
    <x v="1"/>
    <x v="2"/>
    <x v="6"/>
    <n v="2.8"/>
    <b v="1"/>
  </r>
  <r>
    <n v="673"/>
    <n v="21"/>
    <s v="Female"/>
    <s v="Undergraduate"/>
    <s v="Spain"/>
    <n v="6.4"/>
    <s v="TikTok"/>
    <s v="Yes"/>
    <n v="6.2"/>
    <n v="5"/>
    <s v="Single"/>
    <n v="4"/>
    <n v="8"/>
    <s v="Tiktok"/>
    <n v="2"/>
    <s v="6.2"/>
    <s v="OK"/>
    <x v="0"/>
    <x v="0"/>
    <x v="0"/>
    <n v="2.8"/>
    <b v="1"/>
  </r>
  <r>
    <n v="674"/>
    <n v="24"/>
    <s v="Male"/>
    <s v="Graduate"/>
    <s v="Denmark"/>
    <n v="4.5"/>
    <s v="Twitter"/>
    <s v="No"/>
    <n v="7.3"/>
    <n v="7"/>
    <s v="In Relationship"/>
    <n v="2"/>
    <n v="5"/>
    <s v="Twitter"/>
    <n v="3"/>
    <s v="7.3"/>
    <s v="OK"/>
    <x v="1"/>
    <x v="2"/>
    <x v="6"/>
    <n v="2.8"/>
    <b v="1"/>
  </r>
  <r>
    <n v="675"/>
    <n v="19"/>
    <s v="Female"/>
    <s v="Undergraduate"/>
    <s v="Ireland"/>
    <n v="5.9"/>
    <s v="Instagram"/>
    <s v="Yes"/>
    <n v="6.5"/>
    <n v="6"/>
    <s v="Single"/>
    <n v="3"/>
    <n v="7"/>
    <s v="Instagram"/>
    <n v="1"/>
    <s v="6.5"/>
    <s v="OK"/>
    <x v="0"/>
    <x v="0"/>
    <x v="4"/>
    <n v="2.8"/>
    <b v="1"/>
  </r>
  <r>
    <n v="676"/>
    <n v="22"/>
    <s v="Male"/>
    <s v="Graduate"/>
    <s v="India"/>
    <n v="7.2"/>
    <s v="Facebook"/>
    <s v="Yes"/>
    <n v="5.7"/>
    <n v="4"/>
    <s v="Single"/>
    <n v="5"/>
    <n v="9"/>
    <s v="Facebook"/>
    <n v="0"/>
    <s v="5.7"/>
    <s v="OK"/>
    <x v="0"/>
    <x v="0"/>
    <x v="2"/>
    <n v="2.8"/>
    <b v="1"/>
  </r>
  <r>
    <n v="677"/>
    <n v="20"/>
    <s v="Female"/>
    <s v="Undergraduate"/>
    <s v="Switzerland"/>
    <n v="4.5999999999999996"/>
    <s v="TikTok"/>
    <s v="No"/>
    <n v="7.2"/>
    <n v="7"/>
    <s v="In Relationship"/>
    <n v="2"/>
    <n v="5"/>
    <s v="Tiktok"/>
    <n v="2"/>
    <s v="7.2"/>
    <s v="OK"/>
    <x v="1"/>
    <x v="2"/>
    <x v="6"/>
    <n v="2.8"/>
    <b v="1"/>
  </r>
  <r>
    <n v="678"/>
    <n v="23"/>
    <s v="Male"/>
    <s v="Graduate"/>
    <s v="Turkey"/>
    <n v="6.8"/>
    <s v="Instagram"/>
    <s v="Yes"/>
    <n v="6"/>
    <n v="5"/>
    <s v="Single"/>
    <n v="4"/>
    <n v="8"/>
    <s v="Instagram"/>
    <n v="1"/>
    <s v="6"/>
    <s v="OK"/>
    <x v="0"/>
    <x v="0"/>
    <x v="0"/>
    <n v="2.7"/>
    <b v="1"/>
  </r>
  <r>
    <n v="679"/>
    <n v="21"/>
    <s v="Female"/>
    <s v="Undergraduate"/>
    <s v="USA"/>
    <n v="5.3"/>
    <s v="Twitter"/>
    <s v="Yes"/>
    <n v="6.8"/>
    <n v="6"/>
    <s v="In Relationship"/>
    <n v="3"/>
    <n v="7"/>
    <s v="Twitter"/>
    <n v="3"/>
    <s v="6.8"/>
    <s v="OK"/>
    <x v="0"/>
    <x v="0"/>
    <x v="4"/>
    <n v="2.7"/>
    <b v="1"/>
  </r>
  <r>
    <n v="680"/>
    <n v="24"/>
    <s v="Male"/>
    <s v="Graduate"/>
    <s v="Mexico"/>
    <n v="6.2"/>
    <s v="Facebook"/>
    <s v="Yes"/>
    <n v="6.3"/>
    <n v="5"/>
    <s v="Single"/>
    <n v="4"/>
    <n v="8"/>
    <s v="Facebook"/>
    <n v="0"/>
    <s v="6.3"/>
    <s v="OK"/>
    <x v="0"/>
    <x v="0"/>
    <x v="0"/>
    <n v="2.7"/>
    <b v="1"/>
  </r>
  <r>
    <n v="681"/>
    <n v="19"/>
    <s v="Female"/>
    <s v="Undergraduate"/>
    <s v="France"/>
    <n v="4.7"/>
    <s v="Instagram"/>
    <s v="No"/>
    <n v="7.2"/>
    <n v="7"/>
    <s v="In Relationship"/>
    <n v="2"/>
    <n v="5"/>
    <s v="Instagram"/>
    <n v="1"/>
    <s v="7.2"/>
    <s v="OK"/>
    <x v="1"/>
    <x v="2"/>
    <x v="6"/>
    <n v="2.7"/>
    <b v="1"/>
  </r>
  <r>
    <n v="682"/>
    <n v="22"/>
    <s v="Male"/>
    <s v="Graduate"/>
    <s v="Canada"/>
    <n v="5.8"/>
    <s v="TikTok"/>
    <s v="Yes"/>
    <n v="6.6"/>
    <n v="6"/>
    <s v="Single"/>
    <n v="3"/>
    <n v="7"/>
    <s v="Tiktok"/>
    <n v="2"/>
    <s v="6.6"/>
    <s v="OK"/>
    <x v="0"/>
    <x v="0"/>
    <x v="4"/>
    <n v="2.7"/>
    <b v="1"/>
  </r>
  <r>
    <n v="683"/>
    <n v="20"/>
    <s v="Female"/>
    <s v="Undergraduate"/>
    <s v="UK"/>
    <n v="6.1"/>
    <s v="Twitter"/>
    <s v="Yes"/>
    <n v="6.4"/>
    <n v="5"/>
    <s v="Single"/>
    <n v="4"/>
    <n v="8"/>
    <s v="Twitter"/>
    <n v="3"/>
    <s v="6.4"/>
    <s v="OK"/>
    <x v="0"/>
    <x v="0"/>
    <x v="0"/>
    <n v="2.6"/>
    <b v="1"/>
  </r>
  <r>
    <n v="684"/>
    <n v="23"/>
    <s v="Male"/>
    <s v="Graduate"/>
    <s v="Italy"/>
    <n v="4.8"/>
    <s v="Facebook"/>
    <s v="No"/>
    <n v="7.1"/>
    <n v="7"/>
    <s v="In Relationship"/>
    <n v="2"/>
    <n v="5"/>
    <s v="Facebook"/>
    <n v="0"/>
    <s v="7.1"/>
    <s v="OK"/>
    <x v="1"/>
    <x v="2"/>
    <x v="6"/>
    <n v="2.6"/>
    <b v="1"/>
  </r>
  <r>
    <n v="685"/>
    <n v="21"/>
    <s v="Female"/>
    <s v="Undergraduate"/>
    <s v="Russia"/>
    <n v="6.7"/>
    <s v="Instagram"/>
    <s v="Yes"/>
    <n v="6"/>
    <n v="4"/>
    <s v="Single"/>
    <n v="5"/>
    <n v="9"/>
    <s v="Instagram"/>
    <n v="1"/>
    <s v="6"/>
    <s v="OK"/>
    <x v="0"/>
    <x v="0"/>
    <x v="2"/>
    <n v="2.6"/>
    <b v="1"/>
  </r>
  <r>
    <n v="686"/>
    <n v="24"/>
    <s v="Male"/>
    <s v="Graduate"/>
    <s v="China"/>
    <n v="5.5"/>
    <s v="WeChat"/>
    <s v="Yes"/>
    <n v="6.8"/>
    <n v="6"/>
    <s v="In Relationship"/>
    <n v="3"/>
    <n v="7"/>
    <s v="Wechat"/>
    <n v="1"/>
    <s v="6.8"/>
    <s v="OK"/>
    <x v="0"/>
    <x v="0"/>
    <x v="4"/>
    <n v="2.6"/>
    <b v="1"/>
  </r>
  <r>
    <n v="687"/>
    <n v="19"/>
    <s v="Female"/>
    <s v="Undergraduate"/>
    <s v="Japan"/>
    <n v="4.2"/>
    <s v="Twitter"/>
    <s v="No"/>
    <n v="7.5"/>
    <n v="8"/>
    <s v="Single"/>
    <n v="2"/>
    <n v="4"/>
    <s v="Twitter"/>
    <n v="3"/>
    <s v="7.5"/>
    <s v="OK"/>
    <x v="1"/>
    <x v="1"/>
    <x v="3"/>
    <n v="2.6"/>
    <b v="1"/>
  </r>
  <r>
    <n v="688"/>
    <n v="22"/>
    <s v="Male"/>
    <s v="Graduate"/>
    <s v="Poland"/>
    <n v="6.3"/>
    <s v="TikTok"/>
    <s v="Yes"/>
    <n v="6.2"/>
    <n v="5"/>
    <s v="Single"/>
    <n v="4"/>
    <n v="8"/>
    <s v="Tiktok"/>
    <n v="2"/>
    <s v="6.2"/>
    <s v="OK"/>
    <x v="0"/>
    <x v="0"/>
    <x v="0"/>
    <n v="2.5"/>
    <b v="1"/>
  </r>
  <r>
    <n v="689"/>
    <n v="20"/>
    <s v="Female"/>
    <s v="Undergraduate"/>
    <s v="Finland"/>
    <n v="4.4000000000000004"/>
    <s v="Instagram"/>
    <s v="No"/>
    <n v="7.4"/>
    <n v="7"/>
    <s v="In Relationship"/>
    <n v="2"/>
    <n v="5"/>
    <s v="Instagram"/>
    <n v="1"/>
    <s v="7.4"/>
    <s v="OK"/>
    <x v="1"/>
    <x v="2"/>
    <x v="6"/>
    <n v="2.5"/>
    <b v="1"/>
  </r>
  <r>
    <n v="690"/>
    <n v="23"/>
    <s v="Male"/>
    <s v="Graduate"/>
    <s v="Spain"/>
    <n v="6.5"/>
    <s v="Facebook"/>
    <s v="Yes"/>
    <n v="6.1"/>
    <n v="5"/>
    <s v="Single"/>
    <n v="4"/>
    <n v="8"/>
    <s v="Facebook"/>
    <n v="0"/>
    <s v="6.1"/>
    <s v="OK"/>
    <x v="0"/>
    <x v="0"/>
    <x v="0"/>
    <n v="2.5"/>
    <b v="1"/>
  </r>
  <r>
    <n v="691"/>
    <n v="21"/>
    <s v="Female"/>
    <s v="Undergraduate"/>
    <s v="Denmark"/>
    <n v="4.5999999999999996"/>
    <s v="Twitter"/>
    <s v="No"/>
    <n v="7.3"/>
    <n v="7"/>
    <s v="In Relationship"/>
    <n v="2"/>
    <n v="5"/>
    <s v="Twitter"/>
    <n v="3"/>
    <s v="7.3"/>
    <s v="OK"/>
    <x v="1"/>
    <x v="2"/>
    <x v="6"/>
    <n v="2.5"/>
    <b v="1"/>
  </r>
  <r>
    <n v="692"/>
    <n v="24"/>
    <s v="Male"/>
    <s v="Graduate"/>
    <s v="Ireland"/>
    <n v="5.9"/>
    <s v="Instagram"/>
    <s v="Yes"/>
    <n v="6.5"/>
    <n v="6"/>
    <s v="Single"/>
    <n v="3"/>
    <n v="7"/>
    <s v="Instagram"/>
    <n v="1"/>
    <s v="6.5"/>
    <s v="OK"/>
    <x v="0"/>
    <x v="0"/>
    <x v="4"/>
    <n v="2.5"/>
    <b v="1"/>
  </r>
  <r>
    <n v="693"/>
    <n v="19"/>
    <s v="Female"/>
    <s v="Undergraduate"/>
    <s v="India"/>
    <n v="7"/>
    <s v="TikTok"/>
    <s v="Yes"/>
    <n v="5.8"/>
    <n v="4"/>
    <s v="Single"/>
    <n v="5"/>
    <n v="9"/>
    <s v="Tiktok"/>
    <n v="2"/>
    <s v="5.8"/>
    <s v="OK"/>
    <x v="0"/>
    <x v="0"/>
    <x v="2"/>
    <n v="2.4"/>
    <b v="1"/>
  </r>
  <r>
    <n v="694"/>
    <n v="22"/>
    <s v="Male"/>
    <s v="Graduate"/>
    <s v="Switzerland"/>
    <n v="4.5"/>
    <s v="Facebook"/>
    <s v="No"/>
    <n v="7.3"/>
    <n v="7"/>
    <s v="In Relationship"/>
    <n v="2"/>
    <n v="5"/>
    <s v="Facebook"/>
    <n v="0"/>
    <s v="7.3"/>
    <s v="OK"/>
    <x v="1"/>
    <x v="2"/>
    <x v="6"/>
    <n v="2.4"/>
    <b v="1"/>
  </r>
  <r>
    <n v="695"/>
    <n v="20"/>
    <s v="Female"/>
    <s v="Undergraduate"/>
    <s v="Turkey"/>
    <n v="6.6"/>
    <s v="Instagram"/>
    <s v="Yes"/>
    <n v="6.1"/>
    <n v="5"/>
    <s v="Single"/>
    <n v="4"/>
    <n v="8"/>
    <s v="Instagram"/>
    <n v="1"/>
    <s v="6.1"/>
    <s v="OK"/>
    <x v="0"/>
    <x v="0"/>
    <x v="0"/>
    <n v="2.4"/>
    <b v="1"/>
  </r>
  <r>
    <n v="696"/>
    <n v="23"/>
    <s v="Male"/>
    <s v="Graduate"/>
    <s v="USA"/>
    <n v="5.5"/>
    <s v="Twitter"/>
    <s v="Yes"/>
    <n v="6.7"/>
    <n v="6"/>
    <s v="In Relationship"/>
    <n v="3"/>
    <n v="7"/>
    <s v="Twitter"/>
    <n v="3"/>
    <s v="6.7"/>
    <s v="OK"/>
    <x v="0"/>
    <x v="0"/>
    <x v="4"/>
    <n v="2.4"/>
    <b v="1"/>
  </r>
  <r>
    <n v="697"/>
    <n v="21"/>
    <s v="Female"/>
    <s v="Undergraduate"/>
    <s v="Mexico"/>
    <n v="6.3"/>
    <s v="TikTok"/>
    <s v="Yes"/>
    <n v="6.2"/>
    <n v="5"/>
    <s v="Single"/>
    <n v="4"/>
    <n v="8"/>
    <s v="Tiktok"/>
    <n v="2"/>
    <s v="6.2"/>
    <s v="OK"/>
    <x v="0"/>
    <x v="0"/>
    <x v="0"/>
    <n v="2.2999999999999998"/>
    <b v="1"/>
  </r>
  <r>
    <n v="698"/>
    <n v="24"/>
    <s v="Male"/>
    <s v="Graduate"/>
    <s v="France"/>
    <n v="4.8"/>
    <s v="Facebook"/>
    <s v="No"/>
    <n v="7.1"/>
    <n v="7"/>
    <s v="In Relationship"/>
    <n v="2"/>
    <n v="5"/>
    <s v="Facebook"/>
    <n v="0"/>
    <s v="7.1"/>
    <s v="OK"/>
    <x v="1"/>
    <x v="2"/>
    <x v="6"/>
    <n v="2.2999999999999998"/>
    <b v="1"/>
  </r>
  <r>
    <n v="699"/>
    <n v="19"/>
    <s v="Female"/>
    <s v="Undergraduate"/>
    <s v="Canada"/>
    <n v="5.7"/>
    <s v="Instagram"/>
    <s v="Yes"/>
    <n v="6.6"/>
    <n v="6"/>
    <s v="Single"/>
    <n v="3"/>
    <n v="7"/>
    <s v="Instagram"/>
    <n v="1"/>
    <s v="6.6"/>
    <s v="OK"/>
    <x v="0"/>
    <x v="0"/>
    <x v="4"/>
    <n v="2.2999999999999998"/>
    <b v="1"/>
  </r>
  <r>
    <n v="700"/>
    <n v="22"/>
    <s v="Male"/>
    <s v="Graduate"/>
    <s v="UK"/>
    <n v="6.2"/>
    <s v="Twitter"/>
    <s v="Yes"/>
    <n v="6.3"/>
    <n v="5"/>
    <s v="Single"/>
    <n v="4"/>
    <n v="8"/>
    <s v="Twitter"/>
    <n v="3"/>
    <s v="6.3"/>
    <s v="OK"/>
    <x v="0"/>
    <x v="0"/>
    <x v="0"/>
    <n v="2.2999999999999998"/>
    <b v="1"/>
  </r>
  <r>
    <n v="701"/>
    <n v="20"/>
    <s v="Female"/>
    <s v="Undergraduate"/>
    <s v="Italy"/>
    <n v="4.7"/>
    <s v="TikTok"/>
    <s v="No"/>
    <n v="7.2"/>
    <n v="7"/>
    <s v="In Relationship"/>
    <n v="2"/>
    <n v="5"/>
    <s v="Tiktok"/>
    <n v="2"/>
    <s v="7.2"/>
    <s v="OK"/>
    <x v="1"/>
    <x v="2"/>
    <x v="6"/>
    <n v="2.2000000000000002"/>
    <b v="1"/>
  </r>
  <r>
    <n v="702"/>
    <n v="23"/>
    <s v="Male"/>
    <s v="Graduate"/>
    <s v="Russia"/>
    <n v="6.8"/>
    <s v="Instagram"/>
    <s v="Yes"/>
    <n v="5.9"/>
    <n v="4"/>
    <s v="Single"/>
    <n v="5"/>
    <n v="9"/>
    <s v="Instagram"/>
    <n v="1"/>
    <s v="5.9"/>
    <s v="OK"/>
    <x v="0"/>
    <x v="0"/>
    <x v="2"/>
    <n v="2.2000000000000002"/>
    <b v="1"/>
  </r>
  <r>
    <n v="703"/>
    <n v="21"/>
    <s v="Female"/>
    <s v="Undergraduate"/>
    <s v="China"/>
    <n v="5.6"/>
    <s v="WeChat"/>
    <s v="Yes"/>
    <n v="6.7"/>
    <n v="6"/>
    <s v="In Relationship"/>
    <n v="3"/>
    <n v="7"/>
    <s v="Wechat"/>
    <n v="1"/>
    <s v="6.7"/>
    <s v="OK"/>
    <x v="0"/>
    <x v="0"/>
    <x v="4"/>
    <n v="2.1"/>
    <b v="1"/>
  </r>
  <r>
    <n v="704"/>
    <n v="24"/>
    <s v="Male"/>
    <s v="Graduate"/>
    <s v="Japan"/>
    <n v="4.3"/>
    <s v="Twitter"/>
    <s v="No"/>
    <n v="7.5"/>
    <n v="8"/>
    <s v="Single"/>
    <n v="2"/>
    <n v="4"/>
    <s v="Twitter"/>
    <n v="3"/>
    <s v="7.5"/>
    <s v="OK"/>
    <x v="1"/>
    <x v="1"/>
    <x v="3"/>
    <n v="2"/>
    <b v="1"/>
  </r>
  <r>
    <n v="705"/>
    <n v="19"/>
    <s v="Female"/>
    <s v="Undergraduate"/>
    <s v="Poland"/>
    <n v="6.2"/>
    <s v="Facebook"/>
    <s v="Yes"/>
    <n v="6.3"/>
    <n v="5"/>
    <s v="Single"/>
    <n v="4"/>
    <n v="8"/>
    <s v="Facebook"/>
    <n v="0"/>
    <s v="6.3"/>
    <s v="OK"/>
    <x v="0"/>
    <x v="0"/>
    <x v="0"/>
    <n v="1.5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latform">
  <location ref="F3:G1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0"/>
        <item x="8"/>
        <item x="7"/>
        <item x="5"/>
        <item x="6"/>
        <item x="2"/>
        <item x="1"/>
        <item x="9"/>
        <item x="11"/>
        <item x="1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ental_Health_Scor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education">
  <location ref="A3:B7" firstHeaderRow="1" firstDataRow="1" firstDataCol="1"/>
  <pivotFields count="22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g_Daily_Usage_Hou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level">
  <location ref="I3:L8" firstHeaderRow="0" firstDataRow="1" firstDataCol="1"/>
  <pivotFields count="22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sd="0" x="0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9">
        <item x="5"/>
        <item x="1"/>
        <item x="3"/>
        <item x="6"/>
        <item x="7"/>
        <item x="4"/>
        <item x="0"/>
        <item x="2"/>
        <item t="default"/>
      </items>
    </pivotField>
    <pivotField showAll="0"/>
    <pivotField showAll="0"/>
  </pivotFields>
  <rowFields count="3">
    <field x="17"/>
    <field x="18"/>
    <field x="19"/>
  </rowFields>
  <rowItems count="5">
    <i>
      <x/>
    </i>
    <i r="1">
      <x v="1"/>
    </i>
    <i r="1">
      <x v="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leep_Hours_Per_Night" fld="8" baseField="0" baseItem="0"/>
    <dataField name="Sum of Avg_Daily_Usage_Hours" fld="5" baseField="0" baseItem="0"/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topLeftCell="G3" workbookViewId="0">
      <selection activeCell="J3" sqref="J3"/>
    </sheetView>
  </sheetViews>
  <sheetFormatPr defaultRowHeight="15" x14ac:dyDescent="0.25"/>
  <cols>
    <col min="1" max="1" width="14.42578125" bestFit="1" customWidth="1"/>
    <col min="2" max="2" width="13.140625" customWidth="1"/>
    <col min="3" max="3" width="29.140625" bestFit="1" customWidth="1"/>
    <col min="4" max="4" width="29.42578125" bestFit="1" customWidth="1"/>
    <col min="5" max="5" width="19.140625" customWidth="1"/>
    <col min="6" max="6" width="17.42578125" customWidth="1"/>
    <col min="7" max="7" width="28.7109375" customWidth="1"/>
  </cols>
  <sheetData>
    <row r="1" spans="1:12" ht="33.75" x14ac:dyDescent="0.5">
      <c r="C1" s="6"/>
      <c r="D1" s="7" t="s">
        <v>163</v>
      </c>
      <c r="E1" s="8"/>
      <c r="F1" s="8"/>
      <c r="G1" s="9"/>
    </row>
    <row r="3" spans="1:12" x14ac:dyDescent="0.25">
      <c r="A3" s="2" t="s">
        <v>161</v>
      </c>
      <c r="B3" t="s">
        <v>153</v>
      </c>
      <c r="F3" s="2" t="s">
        <v>150</v>
      </c>
      <c r="G3" t="s">
        <v>160</v>
      </c>
      <c r="I3" s="2" t="s">
        <v>162</v>
      </c>
      <c r="J3" t="s">
        <v>154</v>
      </c>
      <c r="K3" t="s">
        <v>153</v>
      </c>
      <c r="L3" t="s">
        <v>155</v>
      </c>
    </row>
    <row r="4" spans="1:12" x14ac:dyDescent="0.25">
      <c r="A4" s="3" t="s">
        <v>20</v>
      </c>
      <c r="B4" s="4">
        <v>1552.4999999999998</v>
      </c>
      <c r="F4" s="3" t="s">
        <v>32</v>
      </c>
      <c r="G4" s="4">
        <v>826</v>
      </c>
      <c r="I4" s="3" t="s">
        <v>156</v>
      </c>
      <c r="J4" s="4">
        <v>2310.3000000000002</v>
      </c>
      <c r="K4" s="4">
        <v>1155.8999999999996</v>
      </c>
      <c r="L4" s="4">
        <v>297</v>
      </c>
    </row>
    <row r="5" spans="1:12" x14ac:dyDescent="0.25">
      <c r="A5" s="3" t="s">
        <v>28</v>
      </c>
      <c r="B5" s="4">
        <v>149.69999999999999</v>
      </c>
      <c r="F5" s="3" t="s">
        <v>16</v>
      </c>
      <c r="G5" s="4">
        <v>1525</v>
      </c>
      <c r="I5" s="5" t="s">
        <v>157</v>
      </c>
      <c r="J5" s="4">
        <v>811.39999999999986</v>
      </c>
      <c r="K5" s="4">
        <v>319.89999999999998</v>
      </c>
      <c r="L5" s="4">
        <v>100</v>
      </c>
    </row>
    <row r="6" spans="1:12" x14ac:dyDescent="0.25">
      <c r="A6" s="3" t="s">
        <v>14</v>
      </c>
      <c r="B6" s="4">
        <v>1765.4999999999998</v>
      </c>
      <c r="F6" s="3" t="s">
        <v>141</v>
      </c>
      <c r="G6" s="4">
        <v>72</v>
      </c>
      <c r="I6" s="5" t="s">
        <v>158</v>
      </c>
      <c r="J6" s="4">
        <v>1498.9</v>
      </c>
      <c r="K6" s="4">
        <v>836.00000000000011</v>
      </c>
      <c r="L6" s="4">
        <v>197</v>
      </c>
    </row>
    <row r="7" spans="1:12" x14ac:dyDescent="0.25">
      <c r="A7" s="3" t="s">
        <v>151</v>
      </c>
      <c r="B7" s="4">
        <v>3467.7</v>
      </c>
      <c r="F7" s="3" t="s">
        <v>140</v>
      </c>
      <c r="G7" s="4">
        <v>96</v>
      </c>
      <c r="I7" s="3" t="s">
        <v>159</v>
      </c>
      <c r="J7" s="4">
        <v>2532.3000000000002</v>
      </c>
      <c r="K7" s="4">
        <v>2311.7999999999997</v>
      </c>
      <c r="L7" s="4">
        <v>408</v>
      </c>
    </row>
    <row r="8" spans="1:12" x14ac:dyDescent="0.25">
      <c r="F8" s="3" t="s">
        <v>35</v>
      </c>
      <c r="G8" s="4">
        <v>168</v>
      </c>
      <c r="I8" s="3" t="s">
        <v>151</v>
      </c>
      <c r="J8" s="4">
        <v>4842.5999999999995</v>
      </c>
      <c r="K8" s="4">
        <v>3467.6999999999994</v>
      </c>
      <c r="L8" s="4">
        <v>705</v>
      </c>
    </row>
    <row r="9" spans="1:12" x14ac:dyDescent="0.25">
      <c r="F9" s="3" t="s">
        <v>37</v>
      </c>
      <c r="G9" s="4">
        <v>72</v>
      </c>
    </row>
    <row r="10" spans="1:12" x14ac:dyDescent="0.25">
      <c r="F10" s="3" t="s">
        <v>26</v>
      </c>
      <c r="G10" s="4">
        <v>880</v>
      </c>
    </row>
    <row r="11" spans="1:12" x14ac:dyDescent="0.25">
      <c r="F11" s="3" t="s">
        <v>22</v>
      </c>
      <c r="G11" s="4">
        <v>205</v>
      </c>
    </row>
    <row r="12" spans="1:12" x14ac:dyDescent="0.25">
      <c r="F12" s="3" t="s">
        <v>142</v>
      </c>
      <c r="G12" s="4">
        <v>84</v>
      </c>
    </row>
    <row r="13" spans="1:12" x14ac:dyDescent="0.25">
      <c r="F13" s="3" t="s">
        <v>144</v>
      </c>
      <c r="G13" s="4">
        <v>97</v>
      </c>
    </row>
    <row r="14" spans="1:12" x14ac:dyDescent="0.25">
      <c r="F14" s="3" t="s">
        <v>143</v>
      </c>
      <c r="G14" s="4">
        <v>299</v>
      </c>
    </row>
    <row r="15" spans="1:12" x14ac:dyDescent="0.25">
      <c r="F15" s="3" t="s">
        <v>30</v>
      </c>
      <c r="G15" s="4">
        <v>66</v>
      </c>
    </row>
    <row r="16" spans="1:12" x14ac:dyDescent="0.25">
      <c r="F16" s="3" t="s">
        <v>151</v>
      </c>
      <c r="G16" s="4">
        <v>4390</v>
      </c>
    </row>
  </sheetData>
  <pageMargins left="0.7" right="0.7" top="0.75" bottom="0.75" header="0.3" footer="0.3"/>
  <pageSetup orientation="portrait" horizontalDpi="360" verticalDpi="36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6"/>
  <sheetViews>
    <sheetView topLeftCell="F1" workbookViewId="0">
      <selection activeCell="H1" sqref="H1:H1048576"/>
    </sheetView>
  </sheetViews>
  <sheetFormatPr defaultRowHeight="15" x14ac:dyDescent="0.25"/>
  <cols>
    <col min="7" max="7" width="18.5703125" customWidth="1"/>
    <col min="8" max="8" width="23.7109375" customWidth="1"/>
    <col min="9" max="9" width="23.42578125" customWidth="1"/>
    <col min="10" max="10" width="23.28515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145</v>
      </c>
      <c r="O1" t="s">
        <v>146</v>
      </c>
      <c r="P1" t="s">
        <v>145</v>
      </c>
      <c r="Q1" t="s">
        <v>147</v>
      </c>
      <c r="R1" t="s">
        <v>148</v>
      </c>
      <c r="S1" t="s">
        <v>149</v>
      </c>
      <c r="T1" t="s">
        <v>145</v>
      </c>
      <c r="U1" t="s">
        <v>5</v>
      </c>
      <c r="V1" t="s">
        <v>152</v>
      </c>
    </row>
    <row r="2" spans="1:22" x14ac:dyDescent="0.25">
      <c r="A2">
        <v>1</v>
      </c>
      <c r="B2">
        <v>19</v>
      </c>
      <c r="C2" t="s">
        <v>13</v>
      </c>
      <c r="D2" t="s">
        <v>14</v>
      </c>
      <c r="E2" t="s">
        <v>15</v>
      </c>
      <c r="F2" s="1">
        <v>5.2</v>
      </c>
      <c r="G2" t="s">
        <v>16</v>
      </c>
      <c r="H2" t="s">
        <v>17</v>
      </c>
      <c r="I2">
        <v>6.5</v>
      </c>
      <c r="J2">
        <v>6</v>
      </c>
      <c r="K2" t="s">
        <v>18</v>
      </c>
      <c r="L2">
        <v>3</v>
      </c>
      <c r="M2">
        <v>8</v>
      </c>
      <c r="N2" t="str">
        <f t="shared" ref="N2:N65" si="0">PROPER(G2)</f>
        <v>Instagram</v>
      </c>
      <c r="O2">
        <f t="shared" ref="O2:O65" si="1">LEN(G2)-LEN(SUBSTITUTE(UPPER(G2),"T",""))</f>
        <v>1</v>
      </c>
      <c r="P2" t="str">
        <f t="shared" ref="P2:P65" si="2">PROPER(I2)</f>
        <v>6.5</v>
      </c>
      <c r="Q2" t="str">
        <f t="shared" ref="Q2:Q65" si="3">(IF(I2&gt;=5,"OK",IF(I2&lt;5,"LESS SLEEP")))</f>
        <v>OK</v>
      </c>
      <c r="R2" t="b">
        <f>IF(M2&gt;=7, "High"&amp;M2&gt;=4,"medium")</f>
        <v>1</v>
      </c>
      <c r="S2" t="str">
        <f t="shared" ref="S2:S65" si="4">IF(M2&gt;=7,"High",IF(AND(M2&gt;4,M2&lt;7),"Medium","Low"))</f>
        <v>High</v>
      </c>
      <c r="T2" t="str">
        <f t="shared" ref="T2:T65" si="5">PROPER(M2)</f>
        <v>8</v>
      </c>
      <c r="U2">
        <v>8.5</v>
      </c>
      <c r="V2" t="b">
        <f>IF(Q2&gt;=7, "High"&amp;Q2&gt;=4,"medium")</f>
        <v>1</v>
      </c>
    </row>
    <row r="3" spans="1:22" x14ac:dyDescent="0.25">
      <c r="A3">
        <v>2</v>
      </c>
      <c r="B3">
        <v>22</v>
      </c>
      <c r="C3" t="s">
        <v>19</v>
      </c>
      <c r="D3" t="s">
        <v>20</v>
      </c>
      <c r="E3" t="s">
        <v>21</v>
      </c>
      <c r="F3">
        <v>2.1</v>
      </c>
      <c r="G3" t="s">
        <v>22</v>
      </c>
      <c r="H3" t="s">
        <v>23</v>
      </c>
      <c r="I3">
        <v>7.5</v>
      </c>
      <c r="J3">
        <v>8</v>
      </c>
      <c r="K3" t="s">
        <v>24</v>
      </c>
      <c r="L3">
        <v>0</v>
      </c>
      <c r="M3">
        <v>3</v>
      </c>
      <c r="N3" t="str">
        <f t="shared" si="0"/>
        <v>Twitter</v>
      </c>
      <c r="O3">
        <f t="shared" si="1"/>
        <v>3</v>
      </c>
      <c r="P3" t="str">
        <f t="shared" si="2"/>
        <v>7.5</v>
      </c>
      <c r="Q3" t="str">
        <f t="shared" si="3"/>
        <v>OK</v>
      </c>
      <c r="R3" t="str">
        <f>IF(M3&gt;=7,"high"&amp;M3&gt;=4,"medium")</f>
        <v>medium</v>
      </c>
      <c r="S3" t="str">
        <f t="shared" si="4"/>
        <v>Low</v>
      </c>
      <c r="T3" t="str">
        <f t="shared" si="5"/>
        <v>3</v>
      </c>
      <c r="U3">
        <v>8.4</v>
      </c>
      <c r="V3" t="b">
        <f>IF(Q3&gt;=7,"high"&amp;Q3&gt;=4,"medium")</f>
        <v>1</v>
      </c>
    </row>
    <row r="4" spans="1:22" x14ac:dyDescent="0.25">
      <c r="A4">
        <v>3</v>
      </c>
      <c r="B4">
        <v>20</v>
      </c>
      <c r="C4" t="s">
        <v>13</v>
      </c>
      <c r="D4" t="s">
        <v>14</v>
      </c>
      <c r="E4" t="s">
        <v>25</v>
      </c>
      <c r="F4">
        <v>6</v>
      </c>
      <c r="G4" t="s">
        <v>26</v>
      </c>
      <c r="H4" t="s">
        <v>17</v>
      </c>
      <c r="I4">
        <v>5</v>
      </c>
      <c r="J4">
        <v>5</v>
      </c>
      <c r="K4" t="s">
        <v>27</v>
      </c>
      <c r="L4">
        <v>4</v>
      </c>
      <c r="M4">
        <v>9</v>
      </c>
      <c r="N4" t="str">
        <f t="shared" si="0"/>
        <v>Tiktok</v>
      </c>
      <c r="O4">
        <f t="shared" si="1"/>
        <v>2</v>
      </c>
      <c r="P4" t="str">
        <f t="shared" si="2"/>
        <v>5</v>
      </c>
      <c r="Q4" t="str">
        <f t="shared" si="3"/>
        <v>OK</v>
      </c>
      <c r="R4" t="b">
        <f t="shared" ref="R4:R67" si="6">IF(M4&gt;=7,"High"&amp;M4&gt;=4,"medium")</f>
        <v>1</v>
      </c>
      <c r="S4" t="str">
        <f t="shared" si="4"/>
        <v>High</v>
      </c>
      <c r="T4" t="str">
        <f t="shared" si="5"/>
        <v>9</v>
      </c>
      <c r="U4">
        <v>8.3000000000000007</v>
      </c>
      <c r="V4" t="b">
        <f t="shared" ref="V4:V67" si="7">IF(Q4&gt;=7,"High"&amp;Q4&gt;=4,"medium")</f>
        <v>1</v>
      </c>
    </row>
    <row r="5" spans="1:22" x14ac:dyDescent="0.25">
      <c r="A5">
        <v>4</v>
      </c>
      <c r="B5">
        <v>18</v>
      </c>
      <c r="C5" t="s">
        <v>19</v>
      </c>
      <c r="D5" t="s">
        <v>28</v>
      </c>
      <c r="E5" t="s">
        <v>29</v>
      </c>
      <c r="F5">
        <v>3</v>
      </c>
      <c r="G5" t="s">
        <v>30</v>
      </c>
      <c r="H5" t="s">
        <v>23</v>
      </c>
      <c r="I5">
        <v>7</v>
      </c>
      <c r="J5">
        <v>7</v>
      </c>
      <c r="K5" t="s">
        <v>24</v>
      </c>
      <c r="L5">
        <v>1</v>
      </c>
      <c r="M5">
        <v>4</v>
      </c>
      <c r="N5" t="str">
        <f t="shared" si="0"/>
        <v>Youtube</v>
      </c>
      <c r="O5">
        <f t="shared" si="1"/>
        <v>1</v>
      </c>
      <c r="P5" t="str">
        <f t="shared" si="2"/>
        <v>7</v>
      </c>
      <c r="Q5" t="str">
        <f t="shared" si="3"/>
        <v>OK</v>
      </c>
      <c r="R5" t="str">
        <f t="shared" si="6"/>
        <v>medium</v>
      </c>
      <c r="S5" t="str">
        <f t="shared" si="4"/>
        <v>Low</v>
      </c>
      <c r="T5" t="str">
        <f t="shared" si="5"/>
        <v>4</v>
      </c>
      <c r="U5">
        <v>8.1999999999999993</v>
      </c>
      <c r="V5" t="b">
        <f t="shared" si="7"/>
        <v>1</v>
      </c>
    </row>
    <row r="6" spans="1:22" x14ac:dyDescent="0.25">
      <c r="A6">
        <v>5</v>
      </c>
      <c r="B6">
        <v>21</v>
      </c>
      <c r="C6" t="s">
        <v>19</v>
      </c>
      <c r="D6" t="s">
        <v>20</v>
      </c>
      <c r="E6" t="s">
        <v>31</v>
      </c>
      <c r="F6">
        <v>4.5</v>
      </c>
      <c r="G6" t="s">
        <v>32</v>
      </c>
      <c r="H6" t="s">
        <v>17</v>
      </c>
      <c r="I6">
        <v>6</v>
      </c>
      <c r="J6">
        <v>6</v>
      </c>
      <c r="K6" t="s">
        <v>18</v>
      </c>
      <c r="L6">
        <v>2</v>
      </c>
      <c r="M6">
        <v>7</v>
      </c>
      <c r="N6" t="str">
        <f t="shared" si="0"/>
        <v>Facebook</v>
      </c>
      <c r="O6">
        <f t="shared" si="1"/>
        <v>0</v>
      </c>
      <c r="P6" t="str">
        <f t="shared" si="2"/>
        <v>6</v>
      </c>
      <c r="Q6" t="str">
        <f t="shared" si="3"/>
        <v>OK</v>
      </c>
      <c r="R6" t="b">
        <f t="shared" si="6"/>
        <v>1</v>
      </c>
      <c r="S6" t="str">
        <f t="shared" si="4"/>
        <v>High</v>
      </c>
      <c r="T6" t="str">
        <f t="shared" si="5"/>
        <v>7</v>
      </c>
      <c r="U6">
        <v>8.1</v>
      </c>
      <c r="V6" t="b">
        <f t="shared" si="7"/>
        <v>1</v>
      </c>
    </row>
    <row r="7" spans="1:22" x14ac:dyDescent="0.25">
      <c r="A7">
        <v>6</v>
      </c>
      <c r="B7">
        <v>19</v>
      </c>
      <c r="C7" t="s">
        <v>13</v>
      </c>
      <c r="D7" t="s">
        <v>14</v>
      </c>
      <c r="E7" t="s">
        <v>33</v>
      </c>
      <c r="F7">
        <v>7.2</v>
      </c>
      <c r="G7" t="s">
        <v>16</v>
      </c>
      <c r="H7" t="s">
        <v>17</v>
      </c>
      <c r="I7">
        <v>4.5</v>
      </c>
      <c r="J7">
        <v>4</v>
      </c>
      <c r="K7" t="s">
        <v>27</v>
      </c>
      <c r="L7">
        <v>5</v>
      </c>
      <c r="M7">
        <v>9</v>
      </c>
      <c r="N7" t="str">
        <f t="shared" si="0"/>
        <v>Instagram</v>
      </c>
      <c r="O7">
        <f t="shared" si="1"/>
        <v>1</v>
      </c>
      <c r="P7" t="str">
        <f t="shared" si="2"/>
        <v>4.5</v>
      </c>
      <c r="Q7" t="str">
        <f t="shared" si="3"/>
        <v>LESS SLEEP</v>
      </c>
      <c r="R7" t="b">
        <f t="shared" si="6"/>
        <v>1</v>
      </c>
      <c r="S7" t="str">
        <f t="shared" si="4"/>
        <v>High</v>
      </c>
      <c r="T7" t="str">
        <f t="shared" si="5"/>
        <v>9</v>
      </c>
      <c r="U7">
        <v>8</v>
      </c>
      <c r="V7" t="b">
        <f t="shared" si="7"/>
        <v>1</v>
      </c>
    </row>
    <row r="8" spans="1:22" x14ac:dyDescent="0.25">
      <c r="A8">
        <v>7</v>
      </c>
      <c r="B8">
        <v>23</v>
      </c>
      <c r="C8" t="s">
        <v>19</v>
      </c>
      <c r="D8" t="s">
        <v>20</v>
      </c>
      <c r="E8" t="s">
        <v>34</v>
      </c>
      <c r="F8">
        <v>1.5</v>
      </c>
      <c r="G8" t="s">
        <v>35</v>
      </c>
      <c r="H8" t="s">
        <v>23</v>
      </c>
      <c r="I8">
        <v>8</v>
      </c>
      <c r="J8">
        <v>9</v>
      </c>
      <c r="K8" t="s">
        <v>24</v>
      </c>
      <c r="L8">
        <v>0</v>
      </c>
      <c r="M8">
        <v>2</v>
      </c>
      <c r="N8" t="str">
        <f t="shared" si="0"/>
        <v>Linkedin</v>
      </c>
      <c r="O8">
        <f t="shared" si="1"/>
        <v>0</v>
      </c>
      <c r="P8" t="str">
        <f t="shared" si="2"/>
        <v>8</v>
      </c>
      <c r="Q8" t="str">
        <f t="shared" si="3"/>
        <v>OK</v>
      </c>
      <c r="R8" t="str">
        <f t="shared" si="6"/>
        <v>medium</v>
      </c>
      <c r="S8" t="str">
        <f t="shared" si="4"/>
        <v>Low</v>
      </c>
      <c r="T8" t="str">
        <f t="shared" si="5"/>
        <v>2</v>
      </c>
      <c r="U8">
        <v>7.9</v>
      </c>
      <c r="V8" t="b">
        <f t="shared" si="7"/>
        <v>1</v>
      </c>
    </row>
    <row r="9" spans="1:22" x14ac:dyDescent="0.25">
      <c r="A9">
        <v>8</v>
      </c>
      <c r="B9">
        <v>20</v>
      </c>
      <c r="C9" t="s">
        <v>13</v>
      </c>
      <c r="D9" t="s">
        <v>14</v>
      </c>
      <c r="E9" t="s">
        <v>36</v>
      </c>
      <c r="F9">
        <v>5.8</v>
      </c>
      <c r="G9" t="s">
        <v>37</v>
      </c>
      <c r="H9" t="s">
        <v>17</v>
      </c>
      <c r="I9">
        <v>6</v>
      </c>
      <c r="J9">
        <v>6</v>
      </c>
      <c r="K9" t="s">
        <v>18</v>
      </c>
      <c r="L9">
        <v>2</v>
      </c>
      <c r="M9">
        <v>8</v>
      </c>
      <c r="N9" t="str">
        <f t="shared" si="0"/>
        <v>Snapchat</v>
      </c>
      <c r="O9">
        <f t="shared" si="1"/>
        <v>1</v>
      </c>
      <c r="P9" t="str">
        <f t="shared" si="2"/>
        <v>6</v>
      </c>
      <c r="Q9" t="str">
        <f t="shared" si="3"/>
        <v>OK</v>
      </c>
      <c r="R9" t="b">
        <f t="shared" si="6"/>
        <v>1</v>
      </c>
      <c r="S9" t="str">
        <f t="shared" si="4"/>
        <v>High</v>
      </c>
      <c r="T9" t="str">
        <f t="shared" si="5"/>
        <v>8</v>
      </c>
      <c r="U9">
        <v>7.8</v>
      </c>
      <c r="V9" t="b">
        <f t="shared" si="7"/>
        <v>1</v>
      </c>
    </row>
    <row r="10" spans="1:22" x14ac:dyDescent="0.25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4</v>
      </c>
      <c r="G10" t="s">
        <v>26</v>
      </c>
      <c r="H10" t="s">
        <v>23</v>
      </c>
      <c r="I10">
        <v>6.5</v>
      </c>
      <c r="J10">
        <v>7</v>
      </c>
      <c r="K10" t="s">
        <v>24</v>
      </c>
      <c r="L10">
        <v>1</v>
      </c>
      <c r="M10">
        <v>5</v>
      </c>
      <c r="N10" t="str">
        <f t="shared" si="0"/>
        <v>Tiktok</v>
      </c>
      <c r="O10">
        <f t="shared" si="1"/>
        <v>2</v>
      </c>
      <c r="P10" t="str">
        <f t="shared" si="2"/>
        <v>6.5</v>
      </c>
      <c r="Q10" t="str">
        <f t="shared" si="3"/>
        <v>OK</v>
      </c>
      <c r="R10" t="str">
        <f t="shared" si="6"/>
        <v>medium</v>
      </c>
      <c r="S10" t="str">
        <f t="shared" si="4"/>
        <v>Medium</v>
      </c>
      <c r="T10" t="str">
        <f t="shared" si="5"/>
        <v>5</v>
      </c>
      <c r="U10">
        <v>7.7</v>
      </c>
      <c r="V10" t="b">
        <f t="shared" si="7"/>
        <v>1</v>
      </c>
    </row>
    <row r="11" spans="1:22" x14ac:dyDescent="0.25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3.3</v>
      </c>
      <c r="G11" t="s">
        <v>16</v>
      </c>
      <c r="H11" t="s">
        <v>23</v>
      </c>
      <c r="I11">
        <v>7</v>
      </c>
      <c r="J11">
        <v>7</v>
      </c>
      <c r="K11" t="s">
        <v>18</v>
      </c>
      <c r="L11">
        <v>1</v>
      </c>
      <c r="M11">
        <v>4</v>
      </c>
      <c r="N11" t="str">
        <f t="shared" si="0"/>
        <v>Instagram</v>
      </c>
      <c r="O11">
        <f t="shared" si="1"/>
        <v>1</v>
      </c>
      <c r="P11" t="str">
        <f t="shared" si="2"/>
        <v>7</v>
      </c>
      <c r="Q11" t="str">
        <f t="shared" si="3"/>
        <v>OK</v>
      </c>
      <c r="R11" t="str">
        <f t="shared" si="6"/>
        <v>medium</v>
      </c>
      <c r="S11" t="str">
        <f t="shared" si="4"/>
        <v>Low</v>
      </c>
      <c r="T11" t="str">
        <f t="shared" si="5"/>
        <v>4</v>
      </c>
      <c r="U11">
        <v>7.6</v>
      </c>
      <c r="V11" t="b">
        <f t="shared" si="7"/>
        <v>1</v>
      </c>
    </row>
    <row r="12" spans="1:22" x14ac:dyDescent="0.25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4.8</v>
      </c>
      <c r="G12" t="s">
        <v>37</v>
      </c>
      <c r="H12" t="s">
        <v>17</v>
      </c>
      <c r="I12">
        <v>6.2</v>
      </c>
      <c r="J12">
        <v>5</v>
      </c>
      <c r="K12" t="s">
        <v>27</v>
      </c>
      <c r="L12">
        <v>3</v>
      </c>
      <c r="M12">
        <v>7</v>
      </c>
      <c r="N12" t="str">
        <f t="shared" si="0"/>
        <v>Snapchat</v>
      </c>
      <c r="O12">
        <f t="shared" si="1"/>
        <v>1</v>
      </c>
      <c r="P12" t="str">
        <f t="shared" si="2"/>
        <v>6.2</v>
      </c>
      <c r="Q12" t="str">
        <f t="shared" si="3"/>
        <v>OK</v>
      </c>
      <c r="R12" t="b">
        <f t="shared" si="6"/>
        <v>1</v>
      </c>
      <c r="S12" t="str">
        <f t="shared" si="4"/>
        <v>High</v>
      </c>
      <c r="T12" t="str">
        <f t="shared" si="5"/>
        <v>7</v>
      </c>
      <c r="U12">
        <v>7.5</v>
      </c>
      <c r="V12" t="b">
        <f t="shared" si="7"/>
        <v>1</v>
      </c>
    </row>
    <row r="13" spans="1:22" x14ac:dyDescent="0.25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5.5</v>
      </c>
      <c r="G13" t="s">
        <v>26</v>
      </c>
      <c r="H13" t="s">
        <v>17</v>
      </c>
      <c r="I13">
        <v>5.8</v>
      </c>
      <c r="J13">
        <v>6</v>
      </c>
      <c r="K13" t="s">
        <v>18</v>
      </c>
      <c r="L13">
        <v>2</v>
      </c>
      <c r="M13">
        <v>8</v>
      </c>
      <c r="N13" t="str">
        <f t="shared" si="0"/>
        <v>Tiktok</v>
      </c>
      <c r="O13">
        <f t="shared" si="1"/>
        <v>2</v>
      </c>
      <c r="P13" t="str">
        <f t="shared" si="2"/>
        <v>5.8</v>
      </c>
      <c r="Q13" t="str">
        <f t="shared" si="3"/>
        <v>OK</v>
      </c>
      <c r="R13" t="b">
        <f t="shared" si="6"/>
        <v>1</v>
      </c>
      <c r="S13" t="str">
        <f t="shared" si="4"/>
        <v>High</v>
      </c>
      <c r="T13" t="str">
        <f t="shared" si="5"/>
        <v>8</v>
      </c>
      <c r="U13">
        <v>7.5</v>
      </c>
      <c r="V13" t="b">
        <f t="shared" si="7"/>
        <v>1</v>
      </c>
    </row>
    <row r="14" spans="1:22" x14ac:dyDescent="0.25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2.8</v>
      </c>
      <c r="G14" t="s">
        <v>35</v>
      </c>
      <c r="H14" t="s">
        <v>23</v>
      </c>
      <c r="I14">
        <v>7.2</v>
      </c>
      <c r="J14">
        <v>8</v>
      </c>
      <c r="K14" t="s">
        <v>24</v>
      </c>
      <c r="L14">
        <v>1</v>
      </c>
      <c r="M14">
        <v>4</v>
      </c>
      <c r="N14" t="str">
        <f t="shared" si="0"/>
        <v>Linkedin</v>
      </c>
      <c r="O14">
        <f t="shared" si="1"/>
        <v>0</v>
      </c>
      <c r="P14" t="str">
        <f t="shared" si="2"/>
        <v>7.2</v>
      </c>
      <c r="Q14" t="str">
        <f t="shared" si="3"/>
        <v>OK</v>
      </c>
      <c r="R14" t="str">
        <f t="shared" si="6"/>
        <v>medium</v>
      </c>
      <c r="S14" t="str">
        <f t="shared" si="4"/>
        <v>Low</v>
      </c>
      <c r="T14" t="str">
        <f t="shared" si="5"/>
        <v>4</v>
      </c>
      <c r="U14">
        <v>7.4</v>
      </c>
      <c r="V14" t="b">
        <f t="shared" si="7"/>
        <v>1</v>
      </c>
    </row>
    <row r="15" spans="1:22" x14ac:dyDescent="0.25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6.5</v>
      </c>
      <c r="G15" t="s">
        <v>16</v>
      </c>
      <c r="H15" t="s">
        <v>17</v>
      </c>
      <c r="I15">
        <v>5.5</v>
      </c>
      <c r="J15">
        <v>5</v>
      </c>
      <c r="K15" t="s">
        <v>24</v>
      </c>
      <c r="L15">
        <v>4</v>
      </c>
      <c r="M15">
        <v>9</v>
      </c>
      <c r="N15" t="str">
        <f t="shared" si="0"/>
        <v>Instagram</v>
      </c>
      <c r="O15">
        <f t="shared" si="1"/>
        <v>1</v>
      </c>
      <c r="P15" t="str">
        <f t="shared" si="2"/>
        <v>5.5</v>
      </c>
      <c r="Q15" t="str">
        <f t="shared" si="3"/>
        <v>OK</v>
      </c>
      <c r="R15" t="b">
        <f t="shared" si="6"/>
        <v>1</v>
      </c>
      <c r="S15" t="str">
        <f t="shared" si="4"/>
        <v>High</v>
      </c>
      <c r="T15" t="str">
        <f t="shared" si="5"/>
        <v>9</v>
      </c>
      <c r="U15">
        <v>7.4</v>
      </c>
      <c r="V15" t="b">
        <f t="shared" si="7"/>
        <v>1</v>
      </c>
    </row>
    <row r="16" spans="1:22" x14ac:dyDescent="0.25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3.7</v>
      </c>
      <c r="G16" t="s">
        <v>30</v>
      </c>
      <c r="H16" t="s">
        <v>23</v>
      </c>
      <c r="I16">
        <v>6.8</v>
      </c>
      <c r="J16">
        <v>7</v>
      </c>
      <c r="K16" t="s">
        <v>18</v>
      </c>
      <c r="L16">
        <v>2</v>
      </c>
      <c r="M16">
        <v>5</v>
      </c>
      <c r="N16" t="str">
        <f t="shared" si="0"/>
        <v>Youtube</v>
      </c>
      <c r="O16">
        <f t="shared" si="1"/>
        <v>1</v>
      </c>
      <c r="P16" t="str">
        <f t="shared" si="2"/>
        <v>6.8</v>
      </c>
      <c r="Q16" t="str">
        <f t="shared" si="3"/>
        <v>OK</v>
      </c>
      <c r="R16" t="str">
        <f t="shared" si="6"/>
        <v>medium</v>
      </c>
      <c r="S16" t="str">
        <f t="shared" si="4"/>
        <v>Medium</v>
      </c>
      <c r="T16" t="str">
        <f t="shared" si="5"/>
        <v>5</v>
      </c>
      <c r="U16">
        <v>7.4</v>
      </c>
      <c r="V16" t="b">
        <f t="shared" si="7"/>
        <v>1</v>
      </c>
    </row>
    <row r="17" spans="1:22" x14ac:dyDescent="0.25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4.2</v>
      </c>
      <c r="G17" t="s">
        <v>26</v>
      </c>
      <c r="H17" t="s">
        <v>17</v>
      </c>
      <c r="I17">
        <v>6</v>
      </c>
      <c r="J17">
        <v>6</v>
      </c>
      <c r="K17" t="s">
        <v>27</v>
      </c>
      <c r="L17">
        <v>3</v>
      </c>
      <c r="M17">
        <v>7</v>
      </c>
      <c r="N17" t="str">
        <f t="shared" si="0"/>
        <v>Tiktok</v>
      </c>
      <c r="O17">
        <f t="shared" si="1"/>
        <v>2</v>
      </c>
      <c r="P17" t="str">
        <f t="shared" si="2"/>
        <v>6</v>
      </c>
      <c r="Q17" t="str">
        <f t="shared" si="3"/>
        <v>OK</v>
      </c>
      <c r="R17" t="b">
        <f t="shared" si="6"/>
        <v>1</v>
      </c>
      <c r="S17" t="str">
        <f t="shared" si="4"/>
        <v>High</v>
      </c>
      <c r="T17" t="str">
        <f t="shared" si="5"/>
        <v>7</v>
      </c>
      <c r="U17">
        <v>7.3</v>
      </c>
      <c r="V17" t="b">
        <f t="shared" si="7"/>
        <v>1</v>
      </c>
    </row>
    <row r="18" spans="1:22" x14ac:dyDescent="0.25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2</v>
      </c>
      <c r="G18" t="s">
        <v>35</v>
      </c>
      <c r="H18" t="s">
        <v>23</v>
      </c>
      <c r="I18">
        <v>7.8</v>
      </c>
      <c r="J18">
        <v>8</v>
      </c>
      <c r="K18" t="s">
        <v>24</v>
      </c>
      <c r="L18">
        <v>0</v>
      </c>
      <c r="M18">
        <v>3</v>
      </c>
      <c r="N18" t="str">
        <f t="shared" si="0"/>
        <v>Linkedin</v>
      </c>
      <c r="O18">
        <f t="shared" si="1"/>
        <v>0</v>
      </c>
      <c r="P18" t="str">
        <f t="shared" si="2"/>
        <v>7.8</v>
      </c>
      <c r="Q18" t="str">
        <f t="shared" si="3"/>
        <v>OK</v>
      </c>
      <c r="R18" t="str">
        <f t="shared" si="6"/>
        <v>medium</v>
      </c>
      <c r="S18" t="str">
        <f t="shared" si="4"/>
        <v>Low</v>
      </c>
      <c r="T18" t="str">
        <f t="shared" si="5"/>
        <v>3</v>
      </c>
      <c r="U18">
        <v>7.3</v>
      </c>
      <c r="V18" t="b">
        <f t="shared" si="7"/>
        <v>1</v>
      </c>
    </row>
    <row r="19" spans="1:22" x14ac:dyDescent="0.25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</v>
      </c>
      <c r="G19" t="s">
        <v>16</v>
      </c>
      <c r="H19" t="s">
        <v>17</v>
      </c>
      <c r="I19">
        <v>5.7</v>
      </c>
      <c r="J19">
        <v>5</v>
      </c>
      <c r="K19" t="s">
        <v>18</v>
      </c>
      <c r="L19">
        <v>3</v>
      </c>
      <c r="M19">
        <v>8</v>
      </c>
      <c r="N19" t="str">
        <f t="shared" si="0"/>
        <v>Instagram</v>
      </c>
      <c r="O19">
        <f t="shared" si="1"/>
        <v>1</v>
      </c>
      <c r="P19" t="str">
        <f t="shared" si="2"/>
        <v>5.7</v>
      </c>
      <c r="Q19" t="str">
        <f t="shared" si="3"/>
        <v>OK</v>
      </c>
      <c r="R19" t="b">
        <f t="shared" si="6"/>
        <v>1</v>
      </c>
      <c r="S19" t="str">
        <f t="shared" si="4"/>
        <v>High</v>
      </c>
      <c r="T19" t="str">
        <f t="shared" si="5"/>
        <v>8</v>
      </c>
      <c r="U19">
        <v>7.3</v>
      </c>
      <c r="V19" t="b">
        <f t="shared" si="7"/>
        <v>1</v>
      </c>
    </row>
    <row r="20" spans="1:22" x14ac:dyDescent="0.25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3.5</v>
      </c>
      <c r="G20" t="s">
        <v>32</v>
      </c>
      <c r="H20" t="s">
        <v>23</v>
      </c>
      <c r="I20">
        <v>6.7</v>
      </c>
      <c r="J20">
        <v>7</v>
      </c>
      <c r="K20" t="s">
        <v>24</v>
      </c>
      <c r="L20">
        <v>1</v>
      </c>
      <c r="M20">
        <v>5</v>
      </c>
      <c r="N20" t="str">
        <f t="shared" si="0"/>
        <v>Facebook</v>
      </c>
      <c r="O20">
        <f t="shared" si="1"/>
        <v>0</v>
      </c>
      <c r="P20" t="str">
        <f t="shared" si="2"/>
        <v>6.7</v>
      </c>
      <c r="Q20" t="str">
        <f t="shared" si="3"/>
        <v>OK</v>
      </c>
      <c r="R20" t="str">
        <f t="shared" si="6"/>
        <v>medium</v>
      </c>
      <c r="S20" t="str">
        <f t="shared" si="4"/>
        <v>Medium</v>
      </c>
      <c r="T20" t="str">
        <f t="shared" si="5"/>
        <v>5</v>
      </c>
      <c r="U20">
        <v>7.3</v>
      </c>
      <c r="V20" t="b">
        <f t="shared" si="7"/>
        <v>1</v>
      </c>
    </row>
    <row r="21" spans="1:22" x14ac:dyDescent="0.25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4.7</v>
      </c>
      <c r="G21" t="s">
        <v>37</v>
      </c>
      <c r="H21" t="s">
        <v>17</v>
      </c>
      <c r="I21">
        <v>5.9</v>
      </c>
      <c r="J21">
        <v>6</v>
      </c>
      <c r="K21" t="s">
        <v>27</v>
      </c>
      <c r="L21">
        <v>3</v>
      </c>
      <c r="M21">
        <v>7</v>
      </c>
      <c r="N21" t="str">
        <f t="shared" si="0"/>
        <v>Snapchat</v>
      </c>
      <c r="O21">
        <f t="shared" si="1"/>
        <v>1</v>
      </c>
      <c r="P21" t="str">
        <f t="shared" si="2"/>
        <v>5.9</v>
      </c>
      <c r="Q21" t="str">
        <f t="shared" si="3"/>
        <v>OK</v>
      </c>
      <c r="R21" t="b">
        <f t="shared" si="6"/>
        <v>1</v>
      </c>
      <c r="S21" t="str">
        <f t="shared" si="4"/>
        <v>High</v>
      </c>
      <c r="T21" t="str">
        <f t="shared" si="5"/>
        <v>7</v>
      </c>
      <c r="U21">
        <v>7.2</v>
      </c>
      <c r="V21" t="b">
        <f t="shared" si="7"/>
        <v>1</v>
      </c>
    </row>
    <row r="22" spans="1:22" x14ac:dyDescent="0.25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5.3</v>
      </c>
      <c r="G22" t="s">
        <v>26</v>
      </c>
      <c r="H22" t="s">
        <v>17</v>
      </c>
      <c r="I22">
        <v>5.5</v>
      </c>
      <c r="J22">
        <v>5</v>
      </c>
      <c r="K22" t="s">
        <v>24</v>
      </c>
      <c r="L22">
        <v>4</v>
      </c>
      <c r="M22">
        <v>8</v>
      </c>
      <c r="N22" t="str">
        <f t="shared" si="0"/>
        <v>Tiktok</v>
      </c>
      <c r="O22">
        <f t="shared" si="1"/>
        <v>2</v>
      </c>
      <c r="P22" t="str">
        <f t="shared" si="2"/>
        <v>5.5</v>
      </c>
      <c r="Q22" t="str">
        <f t="shared" si="3"/>
        <v>OK</v>
      </c>
      <c r="R22" t="b">
        <f t="shared" si="6"/>
        <v>1</v>
      </c>
      <c r="S22" t="str">
        <f t="shared" si="4"/>
        <v>High</v>
      </c>
      <c r="T22" t="str">
        <f t="shared" si="5"/>
        <v>8</v>
      </c>
      <c r="U22">
        <v>7.2</v>
      </c>
      <c r="V22" t="b">
        <f t="shared" si="7"/>
        <v>1</v>
      </c>
    </row>
    <row r="23" spans="1:22" x14ac:dyDescent="0.25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2.5</v>
      </c>
      <c r="G23" t="s">
        <v>35</v>
      </c>
      <c r="H23" t="s">
        <v>23</v>
      </c>
      <c r="I23">
        <v>7.3</v>
      </c>
      <c r="J23">
        <v>8</v>
      </c>
      <c r="K23" t="s">
        <v>18</v>
      </c>
      <c r="L23">
        <v>1</v>
      </c>
      <c r="M23">
        <v>4</v>
      </c>
      <c r="N23" t="str">
        <f t="shared" si="0"/>
        <v>Linkedin</v>
      </c>
      <c r="O23">
        <f t="shared" si="1"/>
        <v>0</v>
      </c>
      <c r="P23" t="str">
        <f t="shared" si="2"/>
        <v>7.3</v>
      </c>
      <c r="Q23" t="str">
        <f t="shared" si="3"/>
        <v>OK</v>
      </c>
      <c r="R23" t="str">
        <f t="shared" si="6"/>
        <v>medium</v>
      </c>
      <c r="S23" t="str">
        <f t="shared" si="4"/>
        <v>Low</v>
      </c>
      <c r="T23" t="str">
        <f t="shared" si="5"/>
        <v>4</v>
      </c>
      <c r="U23">
        <v>7.2</v>
      </c>
      <c r="V23" t="b">
        <f t="shared" si="7"/>
        <v>1</v>
      </c>
    </row>
    <row r="24" spans="1:22" x14ac:dyDescent="0.25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4.9000000000000004</v>
      </c>
      <c r="G24" t="s">
        <v>16</v>
      </c>
      <c r="H24" t="s">
        <v>17</v>
      </c>
      <c r="I24">
        <v>5.8</v>
      </c>
      <c r="J24">
        <v>6</v>
      </c>
      <c r="K24" t="s">
        <v>27</v>
      </c>
      <c r="L24">
        <v>3</v>
      </c>
      <c r="M24">
        <v>7</v>
      </c>
      <c r="N24" t="str">
        <f t="shared" si="0"/>
        <v>Instagram</v>
      </c>
      <c r="O24">
        <f t="shared" si="1"/>
        <v>1</v>
      </c>
      <c r="P24" t="str">
        <f t="shared" si="2"/>
        <v>5.8</v>
      </c>
      <c r="Q24" t="str">
        <f t="shared" si="3"/>
        <v>OK</v>
      </c>
      <c r="R24" t="b">
        <f t="shared" si="6"/>
        <v>1</v>
      </c>
      <c r="S24" t="str">
        <f t="shared" si="4"/>
        <v>High</v>
      </c>
      <c r="T24" t="str">
        <f t="shared" si="5"/>
        <v>7</v>
      </c>
      <c r="U24">
        <v>7.2</v>
      </c>
      <c r="V24" t="b">
        <f t="shared" si="7"/>
        <v>1</v>
      </c>
    </row>
    <row r="25" spans="1:22" x14ac:dyDescent="0.25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5.7</v>
      </c>
      <c r="G25" t="s">
        <v>26</v>
      </c>
      <c r="H25" t="s">
        <v>17</v>
      </c>
      <c r="I25">
        <v>5.4</v>
      </c>
      <c r="J25">
        <v>5</v>
      </c>
      <c r="K25" t="s">
        <v>24</v>
      </c>
      <c r="L25">
        <v>4</v>
      </c>
      <c r="M25">
        <v>8</v>
      </c>
      <c r="N25" t="str">
        <f t="shared" si="0"/>
        <v>Tiktok</v>
      </c>
      <c r="O25">
        <f t="shared" si="1"/>
        <v>2</v>
      </c>
      <c r="P25" t="str">
        <f t="shared" si="2"/>
        <v>5.4</v>
      </c>
      <c r="Q25" t="str">
        <f t="shared" si="3"/>
        <v>OK</v>
      </c>
      <c r="R25" t="b">
        <f t="shared" si="6"/>
        <v>1</v>
      </c>
      <c r="S25" t="str">
        <f t="shared" si="4"/>
        <v>High</v>
      </c>
      <c r="T25" t="str">
        <f t="shared" si="5"/>
        <v>8</v>
      </c>
      <c r="U25">
        <v>7.2</v>
      </c>
      <c r="V25" t="b">
        <f t="shared" si="7"/>
        <v>1</v>
      </c>
    </row>
    <row r="26" spans="1:22" x14ac:dyDescent="0.25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3.2</v>
      </c>
      <c r="G26" t="s">
        <v>32</v>
      </c>
      <c r="H26" t="s">
        <v>23</v>
      </c>
      <c r="I26">
        <v>6.9</v>
      </c>
      <c r="J26">
        <v>7</v>
      </c>
      <c r="K26" t="s">
        <v>18</v>
      </c>
      <c r="L26">
        <v>2</v>
      </c>
      <c r="M26">
        <v>5</v>
      </c>
      <c r="N26" t="str">
        <f t="shared" si="0"/>
        <v>Facebook</v>
      </c>
      <c r="O26">
        <f t="shared" si="1"/>
        <v>0</v>
      </c>
      <c r="P26" t="str">
        <f t="shared" si="2"/>
        <v>6.9</v>
      </c>
      <c r="Q26" t="str">
        <f t="shared" si="3"/>
        <v>OK</v>
      </c>
      <c r="R26" t="str">
        <f t="shared" si="6"/>
        <v>medium</v>
      </c>
      <c r="S26" t="str">
        <f t="shared" si="4"/>
        <v>Medium</v>
      </c>
      <c r="T26" t="str">
        <f t="shared" si="5"/>
        <v>5</v>
      </c>
      <c r="U26">
        <v>7.2</v>
      </c>
      <c r="V26" t="b">
        <f t="shared" si="7"/>
        <v>1</v>
      </c>
    </row>
    <row r="27" spans="1:22" x14ac:dyDescent="0.25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6.1</v>
      </c>
      <c r="G27" t="s">
        <v>16</v>
      </c>
      <c r="H27" t="s">
        <v>17</v>
      </c>
      <c r="I27">
        <v>5.2</v>
      </c>
      <c r="J27">
        <v>5</v>
      </c>
      <c r="K27" t="s">
        <v>27</v>
      </c>
      <c r="L27">
        <v>4</v>
      </c>
      <c r="M27">
        <v>9</v>
      </c>
      <c r="N27" t="str">
        <f t="shared" si="0"/>
        <v>Instagram</v>
      </c>
      <c r="O27">
        <f t="shared" si="1"/>
        <v>1</v>
      </c>
      <c r="P27" t="str">
        <f t="shared" si="2"/>
        <v>5.2</v>
      </c>
      <c r="Q27" t="str">
        <f t="shared" si="3"/>
        <v>OK</v>
      </c>
      <c r="R27" t="b">
        <f t="shared" si="6"/>
        <v>1</v>
      </c>
      <c r="S27" t="str">
        <f t="shared" si="4"/>
        <v>High</v>
      </c>
      <c r="T27" t="str">
        <f t="shared" si="5"/>
        <v>9</v>
      </c>
      <c r="U27">
        <v>7.2</v>
      </c>
      <c r="V27" t="b">
        <f t="shared" si="7"/>
        <v>1</v>
      </c>
    </row>
    <row r="28" spans="1:22" x14ac:dyDescent="0.25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3.8</v>
      </c>
      <c r="G28" t="s">
        <v>30</v>
      </c>
      <c r="H28" t="s">
        <v>23</v>
      </c>
      <c r="I28">
        <v>6.6</v>
      </c>
      <c r="J28">
        <v>7</v>
      </c>
      <c r="K28" t="s">
        <v>24</v>
      </c>
      <c r="L28">
        <v>1</v>
      </c>
      <c r="M28">
        <v>5</v>
      </c>
      <c r="N28" t="str">
        <f t="shared" si="0"/>
        <v>Youtube</v>
      </c>
      <c r="O28">
        <f t="shared" si="1"/>
        <v>1</v>
      </c>
      <c r="P28" t="str">
        <f t="shared" si="2"/>
        <v>6.6</v>
      </c>
      <c r="Q28" t="str">
        <f t="shared" si="3"/>
        <v>OK</v>
      </c>
      <c r="R28" t="str">
        <f t="shared" si="6"/>
        <v>medium</v>
      </c>
      <c r="S28" t="str">
        <f t="shared" si="4"/>
        <v>Medium</v>
      </c>
      <c r="T28" t="str">
        <f t="shared" si="5"/>
        <v>5</v>
      </c>
      <c r="U28">
        <v>7.2</v>
      </c>
      <c r="V28" t="b">
        <f t="shared" si="7"/>
        <v>1</v>
      </c>
    </row>
    <row r="29" spans="1:22" x14ac:dyDescent="0.25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4.4000000000000004</v>
      </c>
      <c r="G29" t="s">
        <v>26</v>
      </c>
      <c r="H29" t="s">
        <v>17</v>
      </c>
      <c r="I29">
        <v>5.9</v>
      </c>
      <c r="J29">
        <v>6</v>
      </c>
      <c r="K29" t="s">
        <v>18</v>
      </c>
      <c r="L29">
        <v>3</v>
      </c>
      <c r="M29">
        <v>7</v>
      </c>
      <c r="N29" t="str">
        <f t="shared" si="0"/>
        <v>Tiktok</v>
      </c>
      <c r="O29">
        <f t="shared" si="1"/>
        <v>2</v>
      </c>
      <c r="P29" t="str">
        <f t="shared" si="2"/>
        <v>5.9</v>
      </c>
      <c r="Q29" t="str">
        <f t="shared" si="3"/>
        <v>OK</v>
      </c>
      <c r="R29" t="b">
        <f t="shared" si="6"/>
        <v>1</v>
      </c>
      <c r="S29" t="str">
        <f t="shared" si="4"/>
        <v>High</v>
      </c>
      <c r="T29" t="str">
        <f t="shared" si="5"/>
        <v>7</v>
      </c>
      <c r="U29">
        <v>7.1</v>
      </c>
      <c r="V29" t="b">
        <f t="shared" si="7"/>
        <v>1</v>
      </c>
    </row>
    <row r="30" spans="1:22" x14ac:dyDescent="0.25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2.2000000000000002</v>
      </c>
      <c r="G30" t="s">
        <v>35</v>
      </c>
      <c r="H30" t="s">
        <v>23</v>
      </c>
      <c r="I30">
        <v>7.4</v>
      </c>
      <c r="J30">
        <v>8</v>
      </c>
      <c r="K30" t="s">
        <v>24</v>
      </c>
      <c r="L30">
        <v>0</v>
      </c>
      <c r="M30">
        <v>3</v>
      </c>
      <c r="N30" t="str">
        <f t="shared" si="0"/>
        <v>Linkedin</v>
      </c>
      <c r="O30">
        <f t="shared" si="1"/>
        <v>0</v>
      </c>
      <c r="P30" t="str">
        <f t="shared" si="2"/>
        <v>7.4</v>
      </c>
      <c r="Q30" t="str">
        <f t="shared" si="3"/>
        <v>OK</v>
      </c>
      <c r="R30" t="str">
        <f t="shared" si="6"/>
        <v>medium</v>
      </c>
      <c r="S30" t="str">
        <f t="shared" si="4"/>
        <v>Low</v>
      </c>
      <c r="T30" t="str">
        <f t="shared" si="5"/>
        <v>3</v>
      </c>
      <c r="U30">
        <v>7.1</v>
      </c>
      <c r="V30" t="b">
        <f t="shared" si="7"/>
        <v>1</v>
      </c>
    </row>
    <row r="31" spans="1:22" x14ac:dyDescent="0.25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5.9</v>
      </c>
      <c r="G31" t="s">
        <v>16</v>
      </c>
      <c r="H31" t="s">
        <v>17</v>
      </c>
      <c r="I31">
        <v>5.3</v>
      </c>
      <c r="J31">
        <v>5</v>
      </c>
      <c r="K31" t="s">
        <v>27</v>
      </c>
      <c r="L31">
        <v>4</v>
      </c>
      <c r="M31">
        <v>8</v>
      </c>
      <c r="N31" t="str">
        <f t="shared" si="0"/>
        <v>Instagram</v>
      </c>
      <c r="O31">
        <f t="shared" si="1"/>
        <v>1</v>
      </c>
      <c r="P31" t="str">
        <f t="shared" si="2"/>
        <v>5.3</v>
      </c>
      <c r="Q31" t="str">
        <f t="shared" si="3"/>
        <v>OK</v>
      </c>
      <c r="R31" t="b">
        <f t="shared" si="6"/>
        <v>1</v>
      </c>
      <c r="S31" t="str">
        <f t="shared" si="4"/>
        <v>High</v>
      </c>
      <c r="T31" t="str">
        <f t="shared" si="5"/>
        <v>8</v>
      </c>
      <c r="U31">
        <v>7.1</v>
      </c>
      <c r="V31" t="b">
        <f t="shared" si="7"/>
        <v>1</v>
      </c>
    </row>
    <row r="32" spans="1:22" x14ac:dyDescent="0.25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3.6</v>
      </c>
      <c r="G32" t="s">
        <v>32</v>
      </c>
      <c r="H32" t="s">
        <v>23</v>
      </c>
      <c r="I32">
        <v>6.7</v>
      </c>
      <c r="J32">
        <v>7</v>
      </c>
      <c r="K32" t="s">
        <v>24</v>
      </c>
      <c r="L32">
        <v>1</v>
      </c>
      <c r="M32">
        <v>5</v>
      </c>
      <c r="N32" t="str">
        <f t="shared" si="0"/>
        <v>Facebook</v>
      </c>
      <c r="O32">
        <f t="shared" si="1"/>
        <v>0</v>
      </c>
      <c r="P32" t="str">
        <f t="shared" si="2"/>
        <v>6.7</v>
      </c>
      <c r="Q32" t="str">
        <f t="shared" si="3"/>
        <v>OK</v>
      </c>
      <c r="R32" t="str">
        <f t="shared" si="6"/>
        <v>medium</v>
      </c>
      <c r="S32" t="str">
        <f t="shared" si="4"/>
        <v>Medium</v>
      </c>
      <c r="T32" t="str">
        <f t="shared" si="5"/>
        <v>5</v>
      </c>
      <c r="U32">
        <v>7.1</v>
      </c>
      <c r="V32" t="b">
        <f t="shared" si="7"/>
        <v>1</v>
      </c>
    </row>
    <row r="33" spans="1:22" x14ac:dyDescent="0.25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4.8</v>
      </c>
      <c r="G33" t="s">
        <v>37</v>
      </c>
      <c r="H33" t="s">
        <v>17</v>
      </c>
      <c r="I33">
        <v>5.7</v>
      </c>
      <c r="J33">
        <v>6</v>
      </c>
      <c r="K33" t="s">
        <v>18</v>
      </c>
      <c r="L33">
        <v>3</v>
      </c>
      <c r="M33">
        <v>7</v>
      </c>
      <c r="N33" t="str">
        <f t="shared" si="0"/>
        <v>Snapchat</v>
      </c>
      <c r="O33">
        <f t="shared" si="1"/>
        <v>1</v>
      </c>
      <c r="P33" t="str">
        <f t="shared" si="2"/>
        <v>5.7</v>
      </c>
      <c r="Q33" t="str">
        <f t="shared" si="3"/>
        <v>OK</v>
      </c>
      <c r="R33" t="b">
        <f t="shared" si="6"/>
        <v>1</v>
      </c>
      <c r="S33" t="str">
        <f t="shared" si="4"/>
        <v>High</v>
      </c>
      <c r="T33" t="str">
        <f t="shared" si="5"/>
        <v>7</v>
      </c>
      <c r="U33">
        <v>7.1</v>
      </c>
      <c r="V33" t="b">
        <f t="shared" si="7"/>
        <v>1</v>
      </c>
    </row>
    <row r="34" spans="1:22" x14ac:dyDescent="0.25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 t="s">
        <v>26</v>
      </c>
      <c r="H34" t="s">
        <v>17</v>
      </c>
      <c r="I34">
        <v>5.4</v>
      </c>
      <c r="J34">
        <v>5</v>
      </c>
      <c r="K34" t="s">
        <v>27</v>
      </c>
      <c r="L34">
        <v>4</v>
      </c>
      <c r="M34">
        <v>8</v>
      </c>
      <c r="N34" t="str">
        <f t="shared" si="0"/>
        <v>Tiktok</v>
      </c>
      <c r="O34">
        <f t="shared" si="1"/>
        <v>2</v>
      </c>
      <c r="P34" t="str">
        <f t="shared" si="2"/>
        <v>5.4</v>
      </c>
      <c r="Q34" t="str">
        <f t="shared" si="3"/>
        <v>OK</v>
      </c>
      <c r="R34" t="b">
        <f t="shared" si="6"/>
        <v>1</v>
      </c>
      <c r="S34" t="str">
        <f t="shared" si="4"/>
        <v>High</v>
      </c>
      <c r="T34" t="str">
        <f t="shared" si="5"/>
        <v>8</v>
      </c>
      <c r="U34">
        <v>7.1</v>
      </c>
      <c r="V34" t="b">
        <f t="shared" si="7"/>
        <v>1</v>
      </c>
    </row>
    <row r="35" spans="1:22" x14ac:dyDescent="0.25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2.6</v>
      </c>
      <c r="G35" t="s">
        <v>35</v>
      </c>
      <c r="H35" t="s">
        <v>23</v>
      </c>
      <c r="I35">
        <v>7.2</v>
      </c>
      <c r="J35">
        <v>8</v>
      </c>
      <c r="K35" t="s">
        <v>24</v>
      </c>
      <c r="L35">
        <v>1</v>
      </c>
      <c r="M35">
        <v>4</v>
      </c>
      <c r="N35" t="str">
        <f t="shared" si="0"/>
        <v>Linkedin</v>
      </c>
      <c r="O35">
        <f t="shared" si="1"/>
        <v>0</v>
      </c>
      <c r="P35" t="str">
        <f t="shared" si="2"/>
        <v>7.2</v>
      </c>
      <c r="Q35" t="str">
        <f t="shared" si="3"/>
        <v>OK</v>
      </c>
      <c r="R35" t="str">
        <f t="shared" si="6"/>
        <v>medium</v>
      </c>
      <c r="S35" t="str">
        <f t="shared" si="4"/>
        <v>Low</v>
      </c>
      <c r="T35" t="str">
        <f t="shared" si="5"/>
        <v>4</v>
      </c>
      <c r="U35">
        <v>7.1</v>
      </c>
      <c r="V35" t="b">
        <f t="shared" si="7"/>
        <v>1</v>
      </c>
    </row>
    <row r="36" spans="1:22" x14ac:dyDescent="0.25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4.7</v>
      </c>
      <c r="G36" t="s">
        <v>16</v>
      </c>
      <c r="H36" t="s">
        <v>17</v>
      </c>
      <c r="I36">
        <v>5.8</v>
      </c>
      <c r="J36">
        <v>6</v>
      </c>
      <c r="K36" t="s">
        <v>18</v>
      </c>
      <c r="L36">
        <v>3</v>
      </c>
      <c r="M36">
        <v>7</v>
      </c>
      <c r="N36" t="str">
        <f t="shared" si="0"/>
        <v>Instagram</v>
      </c>
      <c r="O36">
        <f t="shared" si="1"/>
        <v>1</v>
      </c>
      <c r="P36" t="str">
        <f t="shared" si="2"/>
        <v>5.8</v>
      </c>
      <c r="Q36" t="str">
        <f t="shared" si="3"/>
        <v>OK</v>
      </c>
      <c r="R36" t="b">
        <f t="shared" si="6"/>
        <v>1</v>
      </c>
      <c r="S36" t="str">
        <f t="shared" si="4"/>
        <v>High</v>
      </c>
      <c r="T36" t="str">
        <f t="shared" si="5"/>
        <v>7</v>
      </c>
      <c r="U36">
        <v>7.1</v>
      </c>
      <c r="V36" t="b">
        <f t="shared" si="7"/>
        <v>1</v>
      </c>
    </row>
    <row r="37" spans="1:22" x14ac:dyDescent="0.25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5.6</v>
      </c>
      <c r="G37" t="s">
        <v>26</v>
      </c>
      <c r="H37" t="s">
        <v>17</v>
      </c>
      <c r="I37">
        <v>5.5</v>
      </c>
      <c r="J37">
        <v>5</v>
      </c>
      <c r="K37" t="s">
        <v>27</v>
      </c>
      <c r="L37">
        <v>4</v>
      </c>
      <c r="M37">
        <v>8</v>
      </c>
      <c r="N37" t="str">
        <f t="shared" si="0"/>
        <v>Tiktok</v>
      </c>
      <c r="O37">
        <f t="shared" si="1"/>
        <v>2</v>
      </c>
      <c r="P37" t="str">
        <f t="shared" si="2"/>
        <v>5.5</v>
      </c>
      <c r="Q37" t="str">
        <f t="shared" si="3"/>
        <v>OK</v>
      </c>
      <c r="R37" t="b">
        <f t="shared" si="6"/>
        <v>1</v>
      </c>
      <c r="S37" t="str">
        <f t="shared" si="4"/>
        <v>High</v>
      </c>
      <c r="T37" t="str">
        <f t="shared" si="5"/>
        <v>8</v>
      </c>
      <c r="U37">
        <v>7</v>
      </c>
      <c r="V37" t="b">
        <f t="shared" si="7"/>
        <v>1</v>
      </c>
    </row>
    <row r="38" spans="1:22" x14ac:dyDescent="0.25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3.1</v>
      </c>
      <c r="G38" t="s">
        <v>32</v>
      </c>
      <c r="H38" t="s">
        <v>23</v>
      </c>
      <c r="I38">
        <v>6.8</v>
      </c>
      <c r="J38">
        <v>7</v>
      </c>
      <c r="K38" t="s">
        <v>24</v>
      </c>
      <c r="L38">
        <v>1</v>
      </c>
      <c r="M38">
        <v>5</v>
      </c>
      <c r="N38" t="str">
        <f t="shared" si="0"/>
        <v>Facebook</v>
      </c>
      <c r="O38">
        <f t="shared" si="1"/>
        <v>0</v>
      </c>
      <c r="P38" t="str">
        <f t="shared" si="2"/>
        <v>6.8</v>
      </c>
      <c r="Q38" t="str">
        <f t="shared" si="3"/>
        <v>OK</v>
      </c>
      <c r="R38" t="str">
        <f t="shared" si="6"/>
        <v>medium</v>
      </c>
      <c r="S38" t="str">
        <f t="shared" si="4"/>
        <v>Medium</v>
      </c>
      <c r="T38" t="str">
        <f t="shared" si="5"/>
        <v>5</v>
      </c>
      <c r="U38">
        <v>7</v>
      </c>
      <c r="V38" t="b">
        <f t="shared" si="7"/>
        <v>1</v>
      </c>
    </row>
    <row r="39" spans="1:22" x14ac:dyDescent="0.25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6.2</v>
      </c>
      <c r="G39" t="s">
        <v>16</v>
      </c>
      <c r="H39" t="s">
        <v>17</v>
      </c>
      <c r="I39">
        <v>5.0999999999999996</v>
      </c>
      <c r="J39">
        <v>5</v>
      </c>
      <c r="K39" t="s">
        <v>18</v>
      </c>
      <c r="L39">
        <v>4</v>
      </c>
      <c r="M39">
        <v>9</v>
      </c>
      <c r="N39" t="str">
        <f t="shared" si="0"/>
        <v>Instagram</v>
      </c>
      <c r="O39">
        <f t="shared" si="1"/>
        <v>1</v>
      </c>
      <c r="P39" t="str">
        <f t="shared" si="2"/>
        <v>5.1</v>
      </c>
      <c r="Q39" t="str">
        <f t="shared" si="3"/>
        <v>OK</v>
      </c>
      <c r="R39" t="b">
        <f t="shared" si="6"/>
        <v>1</v>
      </c>
      <c r="S39" t="str">
        <f t="shared" si="4"/>
        <v>High</v>
      </c>
      <c r="T39" t="str">
        <f t="shared" si="5"/>
        <v>9</v>
      </c>
      <c r="U39">
        <v>7</v>
      </c>
      <c r="V39" t="b">
        <f t="shared" si="7"/>
        <v>1</v>
      </c>
    </row>
    <row r="40" spans="1:22" x14ac:dyDescent="0.25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3.9</v>
      </c>
      <c r="G40" t="s">
        <v>30</v>
      </c>
      <c r="H40" t="s">
        <v>23</v>
      </c>
      <c r="I40">
        <v>6.5</v>
      </c>
      <c r="J40">
        <v>7</v>
      </c>
      <c r="K40" t="s">
        <v>27</v>
      </c>
      <c r="L40">
        <v>2</v>
      </c>
      <c r="M40">
        <v>6</v>
      </c>
      <c r="N40" t="str">
        <f t="shared" si="0"/>
        <v>Youtube</v>
      </c>
      <c r="O40">
        <f t="shared" si="1"/>
        <v>1</v>
      </c>
      <c r="P40" t="str">
        <f t="shared" si="2"/>
        <v>6.5</v>
      </c>
      <c r="Q40" t="str">
        <f t="shared" si="3"/>
        <v>OK</v>
      </c>
      <c r="R40" t="str">
        <f t="shared" si="6"/>
        <v>medium</v>
      </c>
      <c r="S40" t="str">
        <f t="shared" si="4"/>
        <v>Medium</v>
      </c>
      <c r="T40" t="str">
        <f t="shared" si="5"/>
        <v>6</v>
      </c>
      <c r="U40">
        <v>7</v>
      </c>
      <c r="V40" t="b">
        <f t="shared" si="7"/>
        <v>1</v>
      </c>
    </row>
    <row r="41" spans="1:22" x14ac:dyDescent="0.25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4.5</v>
      </c>
      <c r="G41" t="s">
        <v>26</v>
      </c>
      <c r="H41" t="s">
        <v>17</v>
      </c>
      <c r="I41">
        <v>5.8</v>
      </c>
      <c r="J41">
        <v>6</v>
      </c>
      <c r="K41" t="s">
        <v>24</v>
      </c>
      <c r="L41">
        <v>3</v>
      </c>
      <c r="M41">
        <v>7</v>
      </c>
      <c r="N41" t="str">
        <f t="shared" si="0"/>
        <v>Tiktok</v>
      </c>
      <c r="O41">
        <f t="shared" si="1"/>
        <v>2</v>
      </c>
      <c r="P41" t="str">
        <f t="shared" si="2"/>
        <v>5.8</v>
      </c>
      <c r="Q41" t="str">
        <f t="shared" si="3"/>
        <v>OK</v>
      </c>
      <c r="R41" t="b">
        <f t="shared" si="6"/>
        <v>1</v>
      </c>
      <c r="S41" t="str">
        <f t="shared" si="4"/>
        <v>High</v>
      </c>
      <c r="T41" t="str">
        <f t="shared" si="5"/>
        <v>7</v>
      </c>
      <c r="U41">
        <v>7</v>
      </c>
      <c r="V41" t="b">
        <f t="shared" si="7"/>
        <v>1</v>
      </c>
    </row>
    <row r="42" spans="1:22" x14ac:dyDescent="0.25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2.2999999999999998</v>
      </c>
      <c r="G42" t="s">
        <v>35</v>
      </c>
      <c r="H42" t="s">
        <v>23</v>
      </c>
      <c r="I42">
        <v>7.3</v>
      </c>
      <c r="J42">
        <v>8</v>
      </c>
      <c r="K42" t="s">
        <v>18</v>
      </c>
      <c r="L42">
        <v>1</v>
      </c>
      <c r="M42">
        <v>4</v>
      </c>
      <c r="N42" t="str">
        <f t="shared" si="0"/>
        <v>Linkedin</v>
      </c>
      <c r="O42">
        <f t="shared" si="1"/>
        <v>0</v>
      </c>
      <c r="P42" t="str">
        <f t="shared" si="2"/>
        <v>7.3</v>
      </c>
      <c r="Q42" t="str">
        <f t="shared" si="3"/>
        <v>OK</v>
      </c>
      <c r="R42" t="str">
        <f t="shared" si="6"/>
        <v>medium</v>
      </c>
      <c r="S42" t="str">
        <f t="shared" si="4"/>
        <v>Low</v>
      </c>
      <c r="T42" t="str">
        <f t="shared" si="5"/>
        <v>4</v>
      </c>
      <c r="U42">
        <v>7</v>
      </c>
      <c r="V42" t="b">
        <f t="shared" si="7"/>
        <v>1</v>
      </c>
    </row>
    <row r="43" spans="1:22" x14ac:dyDescent="0.25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5.8</v>
      </c>
      <c r="G43" t="s">
        <v>16</v>
      </c>
      <c r="H43" t="s">
        <v>17</v>
      </c>
      <c r="I43">
        <v>5.4</v>
      </c>
      <c r="J43">
        <v>5</v>
      </c>
      <c r="K43" t="s">
        <v>27</v>
      </c>
      <c r="L43">
        <v>4</v>
      </c>
      <c r="M43">
        <v>8</v>
      </c>
      <c r="N43" t="str">
        <f t="shared" si="0"/>
        <v>Instagram</v>
      </c>
      <c r="O43">
        <f t="shared" si="1"/>
        <v>1</v>
      </c>
      <c r="P43" t="str">
        <f t="shared" si="2"/>
        <v>5.4</v>
      </c>
      <c r="Q43" t="str">
        <f t="shared" si="3"/>
        <v>OK</v>
      </c>
      <c r="R43" t="b">
        <f t="shared" si="6"/>
        <v>1</v>
      </c>
      <c r="S43" t="str">
        <f t="shared" si="4"/>
        <v>High</v>
      </c>
      <c r="T43" t="str">
        <f t="shared" si="5"/>
        <v>8</v>
      </c>
      <c r="U43">
        <v>7</v>
      </c>
      <c r="V43" t="b">
        <f t="shared" si="7"/>
        <v>1</v>
      </c>
    </row>
    <row r="44" spans="1:22" x14ac:dyDescent="0.25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3.7</v>
      </c>
      <c r="G44" t="s">
        <v>32</v>
      </c>
      <c r="H44" t="s">
        <v>23</v>
      </c>
      <c r="I44">
        <v>6.6</v>
      </c>
      <c r="J44">
        <v>7</v>
      </c>
      <c r="K44" t="s">
        <v>24</v>
      </c>
      <c r="L44">
        <v>2</v>
      </c>
      <c r="M44">
        <v>5</v>
      </c>
      <c r="N44" t="str">
        <f t="shared" si="0"/>
        <v>Facebook</v>
      </c>
      <c r="O44">
        <f t="shared" si="1"/>
        <v>0</v>
      </c>
      <c r="P44" t="str">
        <f t="shared" si="2"/>
        <v>6.6</v>
      </c>
      <c r="Q44" t="str">
        <f t="shared" si="3"/>
        <v>OK</v>
      </c>
      <c r="R44" t="str">
        <f t="shared" si="6"/>
        <v>medium</v>
      </c>
      <c r="S44" t="str">
        <f t="shared" si="4"/>
        <v>Medium</v>
      </c>
      <c r="T44" t="str">
        <f t="shared" si="5"/>
        <v>5</v>
      </c>
      <c r="U44">
        <v>7</v>
      </c>
      <c r="V44" t="b">
        <f t="shared" si="7"/>
        <v>1</v>
      </c>
    </row>
    <row r="45" spans="1:22" x14ac:dyDescent="0.25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4.5999999999999996</v>
      </c>
      <c r="G45" t="s">
        <v>37</v>
      </c>
      <c r="H45" t="s">
        <v>17</v>
      </c>
      <c r="I45">
        <v>5.7</v>
      </c>
      <c r="J45">
        <v>6</v>
      </c>
      <c r="K45" t="s">
        <v>18</v>
      </c>
      <c r="L45">
        <v>3</v>
      </c>
      <c r="M45">
        <v>7</v>
      </c>
      <c r="N45" t="str">
        <f t="shared" si="0"/>
        <v>Snapchat</v>
      </c>
      <c r="O45">
        <f t="shared" si="1"/>
        <v>1</v>
      </c>
      <c r="P45" t="str">
        <f t="shared" si="2"/>
        <v>5.7</v>
      </c>
      <c r="Q45" t="str">
        <f t="shared" si="3"/>
        <v>OK</v>
      </c>
      <c r="R45" t="b">
        <f t="shared" si="6"/>
        <v>1</v>
      </c>
      <c r="S45" t="str">
        <f t="shared" si="4"/>
        <v>High</v>
      </c>
      <c r="T45" t="str">
        <f t="shared" si="5"/>
        <v>7</v>
      </c>
      <c r="U45">
        <v>7</v>
      </c>
      <c r="V45" t="b">
        <f t="shared" si="7"/>
        <v>1</v>
      </c>
    </row>
    <row r="46" spans="1:22" x14ac:dyDescent="0.25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5.5</v>
      </c>
      <c r="G46" t="s">
        <v>26</v>
      </c>
      <c r="H46" t="s">
        <v>17</v>
      </c>
      <c r="I46">
        <v>5.3</v>
      </c>
      <c r="J46">
        <v>5</v>
      </c>
      <c r="K46" t="s">
        <v>24</v>
      </c>
      <c r="L46">
        <v>4</v>
      </c>
      <c r="M46">
        <v>8</v>
      </c>
      <c r="N46" t="str">
        <f t="shared" si="0"/>
        <v>Tiktok</v>
      </c>
      <c r="O46">
        <f t="shared" si="1"/>
        <v>2</v>
      </c>
      <c r="P46" t="str">
        <f t="shared" si="2"/>
        <v>5.3</v>
      </c>
      <c r="Q46" t="str">
        <f t="shared" si="3"/>
        <v>OK</v>
      </c>
      <c r="R46" t="b">
        <f t="shared" si="6"/>
        <v>1</v>
      </c>
      <c r="S46" t="str">
        <f t="shared" si="4"/>
        <v>High</v>
      </c>
      <c r="T46" t="str">
        <f t="shared" si="5"/>
        <v>8</v>
      </c>
      <c r="U46">
        <v>7</v>
      </c>
      <c r="V46" t="b">
        <f t="shared" si="7"/>
        <v>1</v>
      </c>
    </row>
    <row r="47" spans="1:22" x14ac:dyDescent="0.25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2.7</v>
      </c>
      <c r="G47" t="s">
        <v>35</v>
      </c>
      <c r="H47" t="s">
        <v>23</v>
      </c>
      <c r="I47">
        <v>7.1</v>
      </c>
      <c r="J47">
        <v>8</v>
      </c>
      <c r="K47" t="s">
        <v>27</v>
      </c>
      <c r="L47">
        <v>1</v>
      </c>
      <c r="M47">
        <v>4</v>
      </c>
      <c r="N47" t="str">
        <f t="shared" si="0"/>
        <v>Linkedin</v>
      </c>
      <c r="O47">
        <f t="shared" si="1"/>
        <v>0</v>
      </c>
      <c r="P47" t="str">
        <f t="shared" si="2"/>
        <v>7.1</v>
      </c>
      <c r="Q47" t="str">
        <f t="shared" si="3"/>
        <v>OK</v>
      </c>
      <c r="R47" t="str">
        <f t="shared" si="6"/>
        <v>medium</v>
      </c>
      <c r="S47" t="str">
        <f t="shared" si="4"/>
        <v>Low</v>
      </c>
      <c r="T47" t="str">
        <f t="shared" si="5"/>
        <v>4</v>
      </c>
      <c r="U47">
        <v>6.9</v>
      </c>
      <c r="V47" t="b">
        <f t="shared" si="7"/>
        <v>1</v>
      </c>
    </row>
    <row r="48" spans="1:22" x14ac:dyDescent="0.25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4.8</v>
      </c>
      <c r="G48" t="s">
        <v>16</v>
      </c>
      <c r="H48" t="s">
        <v>17</v>
      </c>
      <c r="I48">
        <v>5.9</v>
      </c>
      <c r="J48">
        <v>6</v>
      </c>
      <c r="K48" t="s">
        <v>18</v>
      </c>
      <c r="L48">
        <v>3</v>
      </c>
      <c r="M48">
        <v>7</v>
      </c>
      <c r="N48" t="str">
        <f t="shared" si="0"/>
        <v>Instagram</v>
      </c>
      <c r="O48">
        <f t="shared" si="1"/>
        <v>1</v>
      </c>
      <c r="P48" t="str">
        <f t="shared" si="2"/>
        <v>5.9</v>
      </c>
      <c r="Q48" t="str">
        <f t="shared" si="3"/>
        <v>OK</v>
      </c>
      <c r="R48" t="b">
        <f t="shared" si="6"/>
        <v>1</v>
      </c>
      <c r="S48" t="str">
        <f t="shared" si="4"/>
        <v>High</v>
      </c>
      <c r="T48" t="str">
        <f t="shared" si="5"/>
        <v>7</v>
      </c>
      <c r="U48">
        <v>6.9</v>
      </c>
      <c r="V48" t="b">
        <f t="shared" si="7"/>
        <v>1</v>
      </c>
    </row>
    <row r="49" spans="1:22" x14ac:dyDescent="0.25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5.5</v>
      </c>
      <c r="G49" t="s">
        <v>26</v>
      </c>
      <c r="H49" t="s">
        <v>17</v>
      </c>
      <c r="I49">
        <v>5.6</v>
      </c>
      <c r="J49">
        <v>5</v>
      </c>
      <c r="K49" t="s">
        <v>24</v>
      </c>
      <c r="L49">
        <v>4</v>
      </c>
      <c r="M49">
        <v>8</v>
      </c>
      <c r="N49" t="str">
        <f t="shared" si="0"/>
        <v>Tiktok</v>
      </c>
      <c r="O49">
        <f t="shared" si="1"/>
        <v>2</v>
      </c>
      <c r="P49" t="str">
        <f t="shared" si="2"/>
        <v>5.6</v>
      </c>
      <c r="Q49" t="str">
        <f t="shared" si="3"/>
        <v>OK</v>
      </c>
      <c r="R49" t="b">
        <f t="shared" si="6"/>
        <v>1</v>
      </c>
      <c r="S49" t="str">
        <f t="shared" si="4"/>
        <v>High</v>
      </c>
      <c r="T49" t="str">
        <f t="shared" si="5"/>
        <v>8</v>
      </c>
      <c r="U49">
        <v>6.9</v>
      </c>
      <c r="V49" t="b">
        <f t="shared" si="7"/>
        <v>1</v>
      </c>
    </row>
    <row r="50" spans="1:22" x14ac:dyDescent="0.25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3.3</v>
      </c>
      <c r="G50" t="s">
        <v>32</v>
      </c>
      <c r="H50" t="s">
        <v>23</v>
      </c>
      <c r="I50">
        <v>6.7</v>
      </c>
      <c r="J50">
        <v>7</v>
      </c>
      <c r="K50" t="s">
        <v>18</v>
      </c>
      <c r="L50">
        <v>2</v>
      </c>
      <c r="M50">
        <v>5</v>
      </c>
      <c r="N50" t="str">
        <f t="shared" si="0"/>
        <v>Facebook</v>
      </c>
      <c r="O50">
        <f t="shared" si="1"/>
        <v>0</v>
      </c>
      <c r="P50" t="str">
        <f t="shared" si="2"/>
        <v>6.7</v>
      </c>
      <c r="Q50" t="str">
        <f t="shared" si="3"/>
        <v>OK</v>
      </c>
      <c r="R50" t="str">
        <f t="shared" si="6"/>
        <v>medium</v>
      </c>
      <c r="S50" t="str">
        <f t="shared" si="4"/>
        <v>Medium</v>
      </c>
      <c r="T50" t="str">
        <f t="shared" si="5"/>
        <v>5</v>
      </c>
      <c r="U50">
        <v>6.9</v>
      </c>
      <c r="V50" t="b">
        <f t="shared" si="7"/>
        <v>1</v>
      </c>
    </row>
    <row r="51" spans="1:22" x14ac:dyDescent="0.25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6.3</v>
      </c>
      <c r="G51" t="s">
        <v>16</v>
      </c>
      <c r="H51" t="s">
        <v>17</v>
      </c>
      <c r="I51">
        <v>5.2</v>
      </c>
      <c r="J51">
        <v>5</v>
      </c>
      <c r="K51" t="s">
        <v>27</v>
      </c>
      <c r="L51">
        <v>4</v>
      </c>
      <c r="M51">
        <v>9</v>
      </c>
      <c r="N51" t="str">
        <f t="shared" si="0"/>
        <v>Instagram</v>
      </c>
      <c r="O51">
        <f t="shared" si="1"/>
        <v>1</v>
      </c>
      <c r="P51" t="str">
        <f t="shared" si="2"/>
        <v>5.2</v>
      </c>
      <c r="Q51" t="str">
        <f t="shared" si="3"/>
        <v>OK</v>
      </c>
      <c r="R51" t="b">
        <f t="shared" si="6"/>
        <v>1</v>
      </c>
      <c r="S51" t="str">
        <f t="shared" si="4"/>
        <v>High</v>
      </c>
      <c r="T51" t="str">
        <f t="shared" si="5"/>
        <v>9</v>
      </c>
      <c r="U51">
        <v>6.9</v>
      </c>
      <c r="V51" t="b">
        <f t="shared" si="7"/>
        <v>1</v>
      </c>
    </row>
    <row r="52" spans="1:22" x14ac:dyDescent="0.25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3.8</v>
      </c>
      <c r="G52" t="s">
        <v>30</v>
      </c>
      <c r="H52" t="s">
        <v>23</v>
      </c>
      <c r="I52">
        <v>6.4</v>
      </c>
      <c r="J52">
        <v>7</v>
      </c>
      <c r="K52" t="s">
        <v>24</v>
      </c>
      <c r="L52">
        <v>2</v>
      </c>
      <c r="M52">
        <v>6</v>
      </c>
      <c r="N52" t="str">
        <f t="shared" si="0"/>
        <v>Youtube</v>
      </c>
      <c r="O52">
        <f t="shared" si="1"/>
        <v>1</v>
      </c>
      <c r="P52" t="str">
        <f t="shared" si="2"/>
        <v>6.4</v>
      </c>
      <c r="Q52" t="str">
        <f t="shared" si="3"/>
        <v>OK</v>
      </c>
      <c r="R52" t="str">
        <f t="shared" si="6"/>
        <v>medium</v>
      </c>
      <c r="S52" t="str">
        <f t="shared" si="4"/>
        <v>Medium</v>
      </c>
      <c r="T52" t="str">
        <f t="shared" si="5"/>
        <v>6</v>
      </c>
      <c r="U52">
        <v>6.9</v>
      </c>
      <c r="V52" t="b">
        <f t="shared" si="7"/>
        <v>1</v>
      </c>
    </row>
    <row r="53" spans="1:22" x14ac:dyDescent="0.25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4.7</v>
      </c>
      <c r="G53" t="s">
        <v>26</v>
      </c>
      <c r="H53" t="s">
        <v>17</v>
      </c>
      <c r="I53">
        <v>5.8</v>
      </c>
      <c r="J53">
        <v>6</v>
      </c>
      <c r="K53" t="s">
        <v>18</v>
      </c>
      <c r="L53">
        <v>3</v>
      </c>
      <c r="M53">
        <v>7</v>
      </c>
      <c r="N53" t="str">
        <f t="shared" si="0"/>
        <v>Tiktok</v>
      </c>
      <c r="O53">
        <f t="shared" si="1"/>
        <v>2</v>
      </c>
      <c r="P53" t="str">
        <f t="shared" si="2"/>
        <v>5.8</v>
      </c>
      <c r="Q53" t="str">
        <f t="shared" si="3"/>
        <v>OK</v>
      </c>
      <c r="R53" t="b">
        <f t="shared" si="6"/>
        <v>1</v>
      </c>
      <c r="S53" t="str">
        <f t="shared" si="4"/>
        <v>High</v>
      </c>
      <c r="T53" t="str">
        <f t="shared" si="5"/>
        <v>7</v>
      </c>
      <c r="U53">
        <v>6.9</v>
      </c>
      <c r="V53" t="b">
        <f t="shared" si="7"/>
        <v>1</v>
      </c>
    </row>
    <row r="54" spans="1:22" x14ac:dyDescent="0.25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2.4</v>
      </c>
      <c r="G54" t="s">
        <v>35</v>
      </c>
      <c r="H54" t="s">
        <v>23</v>
      </c>
      <c r="I54">
        <v>7.2</v>
      </c>
      <c r="J54">
        <v>8</v>
      </c>
      <c r="K54" t="s">
        <v>27</v>
      </c>
      <c r="L54">
        <v>1</v>
      </c>
      <c r="M54">
        <v>4</v>
      </c>
      <c r="N54" t="str">
        <f t="shared" si="0"/>
        <v>Linkedin</v>
      </c>
      <c r="O54">
        <f t="shared" si="1"/>
        <v>0</v>
      </c>
      <c r="P54" t="str">
        <f t="shared" si="2"/>
        <v>7.2</v>
      </c>
      <c r="Q54" t="str">
        <f t="shared" si="3"/>
        <v>OK</v>
      </c>
      <c r="R54" t="str">
        <f t="shared" si="6"/>
        <v>medium</v>
      </c>
      <c r="S54" t="str">
        <f t="shared" si="4"/>
        <v>Low</v>
      </c>
      <c r="T54" t="str">
        <f t="shared" si="5"/>
        <v>4</v>
      </c>
      <c r="U54">
        <v>6.9</v>
      </c>
      <c r="V54" t="b">
        <f t="shared" si="7"/>
        <v>1</v>
      </c>
    </row>
    <row r="55" spans="1:22" x14ac:dyDescent="0.25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5.7</v>
      </c>
      <c r="G55" t="s">
        <v>16</v>
      </c>
      <c r="H55" t="s">
        <v>17</v>
      </c>
      <c r="I55">
        <v>5.5</v>
      </c>
      <c r="J55">
        <v>5</v>
      </c>
      <c r="K55" t="s">
        <v>24</v>
      </c>
      <c r="L55">
        <v>4</v>
      </c>
      <c r="M55">
        <v>8</v>
      </c>
      <c r="N55" t="str">
        <f t="shared" si="0"/>
        <v>Instagram</v>
      </c>
      <c r="O55">
        <f t="shared" si="1"/>
        <v>1</v>
      </c>
      <c r="P55" t="str">
        <f t="shared" si="2"/>
        <v>5.5</v>
      </c>
      <c r="Q55" t="str">
        <f t="shared" si="3"/>
        <v>OK</v>
      </c>
      <c r="R55" t="b">
        <f t="shared" si="6"/>
        <v>1</v>
      </c>
      <c r="S55" t="str">
        <f t="shared" si="4"/>
        <v>High</v>
      </c>
      <c r="T55" t="str">
        <f t="shared" si="5"/>
        <v>8</v>
      </c>
      <c r="U55">
        <v>6.9</v>
      </c>
      <c r="V55" t="b">
        <f t="shared" si="7"/>
        <v>1</v>
      </c>
    </row>
    <row r="56" spans="1:22" x14ac:dyDescent="0.25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3.6</v>
      </c>
      <c r="G56" t="s">
        <v>32</v>
      </c>
      <c r="H56" t="s">
        <v>23</v>
      </c>
      <c r="I56">
        <v>6.5</v>
      </c>
      <c r="J56">
        <v>7</v>
      </c>
      <c r="K56" t="s">
        <v>18</v>
      </c>
      <c r="L56">
        <v>2</v>
      </c>
      <c r="M56">
        <v>5</v>
      </c>
      <c r="N56" t="str">
        <f t="shared" si="0"/>
        <v>Facebook</v>
      </c>
      <c r="O56">
        <f t="shared" si="1"/>
        <v>0</v>
      </c>
      <c r="P56" t="str">
        <f t="shared" si="2"/>
        <v>6.5</v>
      </c>
      <c r="Q56" t="str">
        <f t="shared" si="3"/>
        <v>OK</v>
      </c>
      <c r="R56" t="str">
        <f t="shared" si="6"/>
        <v>medium</v>
      </c>
      <c r="S56" t="str">
        <f t="shared" si="4"/>
        <v>Medium</v>
      </c>
      <c r="T56" t="str">
        <f t="shared" si="5"/>
        <v>5</v>
      </c>
      <c r="U56">
        <v>6.9</v>
      </c>
      <c r="V56" t="b">
        <f t="shared" si="7"/>
        <v>1</v>
      </c>
    </row>
    <row r="57" spans="1:22" x14ac:dyDescent="0.25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4.9000000000000004</v>
      </c>
      <c r="G57" t="s">
        <v>37</v>
      </c>
      <c r="H57" t="s">
        <v>17</v>
      </c>
      <c r="I57">
        <v>5.6</v>
      </c>
      <c r="J57">
        <v>6</v>
      </c>
      <c r="K57" t="s">
        <v>27</v>
      </c>
      <c r="L57">
        <v>3</v>
      </c>
      <c r="M57">
        <v>7</v>
      </c>
      <c r="N57" t="str">
        <f t="shared" si="0"/>
        <v>Snapchat</v>
      </c>
      <c r="O57">
        <f t="shared" si="1"/>
        <v>1</v>
      </c>
      <c r="P57" t="str">
        <f t="shared" si="2"/>
        <v>5.6</v>
      </c>
      <c r="Q57" t="str">
        <f t="shared" si="3"/>
        <v>OK</v>
      </c>
      <c r="R57" t="b">
        <f t="shared" si="6"/>
        <v>1</v>
      </c>
      <c r="S57" t="str">
        <f t="shared" si="4"/>
        <v>High</v>
      </c>
      <c r="T57" t="str">
        <f t="shared" si="5"/>
        <v>7</v>
      </c>
      <c r="U57">
        <v>6.8</v>
      </c>
      <c r="V57" t="b">
        <f t="shared" si="7"/>
        <v>1</v>
      </c>
    </row>
    <row r="58" spans="1:22" x14ac:dyDescent="0.25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5.6</v>
      </c>
      <c r="G58" t="s">
        <v>26</v>
      </c>
      <c r="H58" t="s">
        <v>17</v>
      </c>
      <c r="I58">
        <v>5.2</v>
      </c>
      <c r="J58">
        <v>5</v>
      </c>
      <c r="K58" t="s">
        <v>24</v>
      </c>
      <c r="L58">
        <v>4</v>
      </c>
      <c r="M58">
        <v>8</v>
      </c>
      <c r="N58" t="str">
        <f t="shared" si="0"/>
        <v>Tiktok</v>
      </c>
      <c r="O58">
        <f t="shared" si="1"/>
        <v>2</v>
      </c>
      <c r="P58" t="str">
        <f t="shared" si="2"/>
        <v>5.2</v>
      </c>
      <c r="Q58" t="str">
        <f t="shared" si="3"/>
        <v>OK</v>
      </c>
      <c r="R58" t="b">
        <f t="shared" si="6"/>
        <v>1</v>
      </c>
      <c r="S58" t="str">
        <f t="shared" si="4"/>
        <v>High</v>
      </c>
      <c r="T58" t="str">
        <f t="shared" si="5"/>
        <v>8</v>
      </c>
      <c r="U58">
        <v>6.8</v>
      </c>
      <c r="V58" t="b">
        <f t="shared" si="7"/>
        <v>1</v>
      </c>
    </row>
    <row r="59" spans="1:22" x14ac:dyDescent="0.25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2.8</v>
      </c>
      <c r="G59" t="s">
        <v>35</v>
      </c>
      <c r="H59" t="s">
        <v>23</v>
      </c>
      <c r="I59">
        <v>7</v>
      </c>
      <c r="J59">
        <v>8</v>
      </c>
      <c r="K59" t="s">
        <v>18</v>
      </c>
      <c r="L59">
        <v>1</v>
      </c>
      <c r="M59">
        <v>4</v>
      </c>
      <c r="N59" t="str">
        <f t="shared" si="0"/>
        <v>Linkedin</v>
      </c>
      <c r="O59">
        <f t="shared" si="1"/>
        <v>0</v>
      </c>
      <c r="P59" t="str">
        <f t="shared" si="2"/>
        <v>7</v>
      </c>
      <c r="Q59" t="str">
        <f t="shared" si="3"/>
        <v>OK</v>
      </c>
      <c r="R59" t="str">
        <f t="shared" si="6"/>
        <v>medium</v>
      </c>
      <c r="S59" t="str">
        <f t="shared" si="4"/>
        <v>Low</v>
      </c>
      <c r="T59" t="str">
        <f t="shared" si="5"/>
        <v>4</v>
      </c>
      <c r="U59">
        <v>6.8</v>
      </c>
      <c r="V59" t="b">
        <f t="shared" si="7"/>
        <v>1</v>
      </c>
    </row>
    <row r="60" spans="1:22" x14ac:dyDescent="0.25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4.5999999999999996</v>
      </c>
      <c r="G60" t="s">
        <v>16</v>
      </c>
      <c r="H60" t="s">
        <v>17</v>
      </c>
      <c r="I60">
        <v>5.9</v>
      </c>
      <c r="J60">
        <v>6</v>
      </c>
      <c r="K60" t="s">
        <v>27</v>
      </c>
      <c r="L60">
        <v>3</v>
      </c>
      <c r="M60">
        <v>7</v>
      </c>
      <c r="N60" t="str">
        <f t="shared" si="0"/>
        <v>Instagram</v>
      </c>
      <c r="O60">
        <f t="shared" si="1"/>
        <v>1</v>
      </c>
      <c r="P60" t="str">
        <f t="shared" si="2"/>
        <v>5.9</v>
      </c>
      <c r="Q60" t="str">
        <f t="shared" si="3"/>
        <v>OK</v>
      </c>
      <c r="R60" t="b">
        <f t="shared" si="6"/>
        <v>1</v>
      </c>
      <c r="S60" t="str">
        <f t="shared" si="4"/>
        <v>High</v>
      </c>
      <c r="T60" t="str">
        <f t="shared" si="5"/>
        <v>7</v>
      </c>
      <c r="U60">
        <v>6.8</v>
      </c>
      <c r="V60" t="b">
        <f t="shared" si="7"/>
        <v>1</v>
      </c>
    </row>
    <row r="61" spans="1:22" x14ac:dyDescent="0.25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5.4</v>
      </c>
      <c r="G61" t="s">
        <v>26</v>
      </c>
      <c r="H61" t="s">
        <v>17</v>
      </c>
      <c r="I61">
        <v>5.7</v>
      </c>
      <c r="J61">
        <v>5</v>
      </c>
      <c r="K61" t="s">
        <v>24</v>
      </c>
      <c r="L61">
        <v>4</v>
      </c>
      <c r="M61">
        <v>8</v>
      </c>
      <c r="N61" t="str">
        <f t="shared" si="0"/>
        <v>Tiktok</v>
      </c>
      <c r="O61">
        <f t="shared" si="1"/>
        <v>2</v>
      </c>
      <c r="P61" t="str">
        <f t="shared" si="2"/>
        <v>5.7</v>
      </c>
      <c r="Q61" t="str">
        <f t="shared" si="3"/>
        <v>OK</v>
      </c>
      <c r="R61" t="b">
        <f t="shared" si="6"/>
        <v>1</v>
      </c>
      <c r="S61" t="str">
        <f t="shared" si="4"/>
        <v>High</v>
      </c>
      <c r="T61" t="str">
        <f t="shared" si="5"/>
        <v>8</v>
      </c>
      <c r="U61">
        <v>6.8</v>
      </c>
      <c r="V61" t="b">
        <f t="shared" si="7"/>
        <v>1</v>
      </c>
    </row>
    <row r="62" spans="1:22" x14ac:dyDescent="0.25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3.1</v>
      </c>
      <c r="G62" t="s">
        <v>32</v>
      </c>
      <c r="H62" t="s">
        <v>23</v>
      </c>
      <c r="I62">
        <v>7.1</v>
      </c>
      <c r="J62">
        <v>7</v>
      </c>
      <c r="K62" t="s">
        <v>24</v>
      </c>
      <c r="L62">
        <v>1</v>
      </c>
      <c r="M62">
        <v>5</v>
      </c>
      <c r="N62" t="str">
        <f t="shared" si="0"/>
        <v>Facebook</v>
      </c>
      <c r="O62">
        <f t="shared" si="1"/>
        <v>0</v>
      </c>
      <c r="P62" t="str">
        <f t="shared" si="2"/>
        <v>7.1</v>
      </c>
      <c r="Q62" t="str">
        <f t="shared" si="3"/>
        <v>OK</v>
      </c>
      <c r="R62" t="str">
        <f t="shared" si="6"/>
        <v>medium</v>
      </c>
      <c r="S62" t="str">
        <f t="shared" si="4"/>
        <v>Medium</v>
      </c>
      <c r="T62" t="str">
        <f t="shared" si="5"/>
        <v>5</v>
      </c>
      <c r="U62">
        <v>6.8</v>
      </c>
      <c r="V62" t="b">
        <f t="shared" si="7"/>
        <v>1</v>
      </c>
    </row>
    <row r="63" spans="1:22" x14ac:dyDescent="0.25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 t="s">
        <v>16</v>
      </c>
      <c r="H63" t="s">
        <v>17</v>
      </c>
      <c r="I63">
        <v>5.6</v>
      </c>
      <c r="J63">
        <v>5</v>
      </c>
      <c r="K63" t="s">
        <v>18</v>
      </c>
      <c r="L63">
        <v>3</v>
      </c>
      <c r="M63">
        <v>8</v>
      </c>
      <c r="N63" t="str">
        <f t="shared" si="0"/>
        <v>Instagram</v>
      </c>
      <c r="O63">
        <f t="shared" si="1"/>
        <v>1</v>
      </c>
      <c r="P63" t="str">
        <f t="shared" si="2"/>
        <v>5.6</v>
      </c>
      <c r="Q63" t="str">
        <f t="shared" si="3"/>
        <v>OK</v>
      </c>
      <c r="R63" t="b">
        <f t="shared" si="6"/>
        <v>1</v>
      </c>
      <c r="S63" t="str">
        <f t="shared" si="4"/>
        <v>High</v>
      </c>
      <c r="T63" t="str">
        <f t="shared" si="5"/>
        <v>8</v>
      </c>
      <c r="U63">
        <v>6.8</v>
      </c>
      <c r="V63" t="b">
        <f t="shared" si="7"/>
        <v>1</v>
      </c>
    </row>
    <row r="64" spans="1:22" x14ac:dyDescent="0.25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4.2</v>
      </c>
      <c r="G64" t="s">
        <v>26</v>
      </c>
      <c r="H64" t="s">
        <v>17</v>
      </c>
      <c r="I64">
        <v>6</v>
      </c>
      <c r="J64">
        <v>6</v>
      </c>
      <c r="K64" t="s">
        <v>27</v>
      </c>
      <c r="L64">
        <v>3</v>
      </c>
      <c r="M64">
        <v>7</v>
      </c>
      <c r="N64" t="str">
        <f t="shared" si="0"/>
        <v>Tiktok</v>
      </c>
      <c r="O64">
        <f t="shared" si="1"/>
        <v>2</v>
      </c>
      <c r="P64" t="str">
        <f t="shared" si="2"/>
        <v>6</v>
      </c>
      <c r="Q64" t="str">
        <f t="shared" si="3"/>
        <v>OK</v>
      </c>
      <c r="R64" t="b">
        <f t="shared" si="6"/>
        <v>1</v>
      </c>
      <c r="S64" t="str">
        <f t="shared" si="4"/>
        <v>High</v>
      </c>
      <c r="T64" t="str">
        <f t="shared" si="5"/>
        <v>7</v>
      </c>
      <c r="U64">
        <v>6.8</v>
      </c>
      <c r="V64" t="b">
        <f t="shared" si="7"/>
        <v>1</v>
      </c>
    </row>
    <row r="65" spans="1:22" x14ac:dyDescent="0.25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6.1</v>
      </c>
      <c r="G65" t="s">
        <v>37</v>
      </c>
      <c r="H65" t="s">
        <v>17</v>
      </c>
      <c r="I65">
        <v>5.2</v>
      </c>
      <c r="J65">
        <v>4</v>
      </c>
      <c r="K65" t="s">
        <v>24</v>
      </c>
      <c r="L65">
        <v>4</v>
      </c>
      <c r="M65">
        <v>9</v>
      </c>
      <c r="N65" t="str">
        <f t="shared" si="0"/>
        <v>Snapchat</v>
      </c>
      <c r="O65">
        <f t="shared" si="1"/>
        <v>1</v>
      </c>
      <c r="P65" t="str">
        <f t="shared" si="2"/>
        <v>5.2</v>
      </c>
      <c r="Q65" t="str">
        <f t="shared" si="3"/>
        <v>OK</v>
      </c>
      <c r="R65" t="b">
        <f t="shared" si="6"/>
        <v>1</v>
      </c>
      <c r="S65" t="str">
        <f t="shared" si="4"/>
        <v>High</v>
      </c>
      <c r="T65" t="str">
        <f t="shared" si="5"/>
        <v>9</v>
      </c>
      <c r="U65">
        <v>6.8</v>
      </c>
      <c r="V65" t="b">
        <f t="shared" si="7"/>
        <v>1</v>
      </c>
    </row>
    <row r="66" spans="1:22" x14ac:dyDescent="0.25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2.2999999999999998</v>
      </c>
      <c r="G66" t="s">
        <v>35</v>
      </c>
      <c r="H66" t="s">
        <v>23</v>
      </c>
      <c r="I66">
        <v>7.4</v>
      </c>
      <c r="J66">
        <v>8</v>
      </c>
      <c r="K66" t="s">
        <v>18</v>
      </c>
      <c r="L66">
        <v>1</v>
      </c>
      <c r="M66">
        <v>3</v>
      </c>
      <c r="N66" t="str">
        <f t="shared" ref="N66:N129" si="8">PROPER(G66)</f>
        <v>Linkedin</v>
      </c>
      <c r="O66">
        <f t="shared" ref="O66:O129" si="9">LEN(G66)-LEN(SUBSTITUTE(UPPER(G66),"T",""))</f>
        <v>0</v>
      </c>
      <c r="P66" t="str">
        <f t="shared" ref="P66:P129" si="10">PROPER(I66)</f>
        <v>7.4</v>
      </c>
      <c r="Q66" t="str">
        <f t="shared" ref="Q66:Q129" si="11">(IF(I66&gt;=5,"OK",IF(I66&lt;5,"LESS SLEEP")))</f>
        <v>OK</v>
      </c>
      <c r="R66" t="str">
        <f t="shared" si="6"/>
        <v>medium</v>
      </c>
      <c r="S66" t="str">
        <f t="shared" ref="S66:S129" si="12">IF(M66&gt;=7,"High",IF(AND(M66&gt;4,M66&lt;7),"Medium","Low"))</f>
        <v>Low</v>
      </c>
      <c r="T66" t="str">
        <f t="shared" ref="T66:T129" si="13">PROPER(M66)</f>
        <v>3</v>
      </c>
      <c r="U66">
        <v>6.8</v>
      </c>
      <c r="V66" t="b">
        <f t="shared" si="7"/>
        <v>1</v>
      </c>
    </row>
    <row r="67" spans="1:22" x14ac:dyDescent="0.25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4.8</v>
      </c>
      <c r="G67" t="s">
        <v>16</v>
      </c>
      <c r="H67" t="s">
        <v>17</v>
      </c>
      <c r="I67">
        <v>5.8</v>
      </c>
      <c r="J67">
        <v>6</v>
      </c>
      <c r="K67" t="s">
        <v>24</v>
      </c>
      <c r="L67">
        <v>3</v>
      </c>
      <c r="M67">
        <v>7</v>
      </c>
      <c r="N67" t="str">
        <f t="shared" si="8"/>
        <v>Instagram</v>
      </c>
      <c r="O67">
        <f t="shared" si="9"/>
        <v>1</v>
      </c>
      <c r="P67" t="str">
        <f t="shared" si="10"/>
        <v>5.8</v>
      </c>
      <c r="Q67" t="str">
        <f t="shared" si="11"/>
        <v>OK</v>
      </c>
      <c r="R67" t="b">
        <f t="shared" si="6"/>
        <v>1</v>
      </c>
      <c r="S67" t="str">
        <f t="shared" si="12"/>
        <v>High</v>
      </c>
      <c r="T67" t="str">
        <f t="shared" si="13"/>
        <v>7</v>
      </c>
      <c r="U67">
        <v>6.8</v>
      </c>
      <c r="V67" t="b">
        <f t="shared" si="7"/>
        <v>1</v>
      </c>
    </row>
    <row r="68" spans="1:22" x14ac:dyDescent="0.25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3.9</v>
      </c>
      <c r="G68" t="s">
        <v>30</v>
      </c>
      <c r="H68" t="s">
        <v>23</v>
      </c>
      <c r="I68">
        <v>6.5</v>
      </c>
      <c r="J68">
        <v>7</v>
      </c>
      <c r="K68" t="s">
        <v>27</v>
      </c>
      <c r="L68">
        <v>2</v>
      </c>
      <c r="M68">
        <v>6</v>
      </c>
      <c r="N68" t="str">
        <f t="shared" si="8"/>
        <v>Youtube</v>
      </c>
      <c r="O68">
        <f t="shared" si="9"/>
        <v>1</v>
      </c>
      <c r="P68" t="str">
        <f t="shared" si="10"/>
        <v>6.5</v>
      </c>
      <c r="Q68" t="str">
        <f t="shared" si="11"/>
        <v>OK</v>
      </c>
      <c r="R68" t="str">
        <f t="shared" ref="R68:R131" si="14">IF(M68&gt;=7,"High"&amp;M68&gt;=4,"medium")</f>
        <v>medium</v>
      </c>
      <c r="S68" t="str">
        <f t="shared" si="12"/>
        <v>Medium</v>
      </c>
      <c r="T68" t="str">
        <f t="shared" si="13"/>
        <v>6</v>
      </c>
      <c r="U68">
        <v>6.8</v>
      </c>
      <c r="V68" t="b">
        <f t="shared" ref="V68:V131" si="15">IF(Q68&gt;=7,"High"&amp;Q68&gt;=4,"medium")</f>
        <v>1</v>
      </c>
    </row>
    <row r="69" spans="1:22" x14ac:dyDescent="0.25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5.7</v>
      </c>
      <c r="G69" t="s">
        <v>26</v>
      </c>
      <c r="H69" t="s">
        <v>17</v>
      </c>
      <c r="I69">
        <v>5.4</v>
      </c>
      <c r="J69">
        <v>5</v>
      </c>
      <c r="K69" t="s">
        <v>18</v>
      </c>
      <c r="L69">
        <v>4</v>
      </c>
      <c r="M69">
        <v>8</v>
      </c>
      <c r="N69" t="str">
        <f t="shared" si="8"/>
        <v>Tiktok</v>
      </c>
      <c r="O69">
        <f t="shared" si="9"/>
        <v>2</v>
      </c>
      <c r="P69" t="str">
        <f t="shared" si="10"/>
        <v>5.4</v>
      </c>
      <c r="Q69" t="str">
        <f t="shared" si="11"/>
        <v>OK</v>
      </c>
      <c r="R69" t="b">
        <f t="shared" si="14"/>
        <v>1</v>
      </c>
      <c r="S69" t="str">
        <f t="shared" si="12"/>
        <v>High</v>
      </c>
      <c r="T69" t="str">
        <f t="shared" si="13"/>
        <v>8</v>
      </c>
      <c r="U69">
        <v>6.8</v>
      </c>
      <c r="V69" t="b">
        <f t="shared" si="15"/>
        <v>1</v>
      </c>
    </row>
    <row r="70" spans="1:22" x14ac:dyDescent="0.25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2.8</v>
      </c>
      <c r="G70" t="s">
        <v>35</v>
      </c>
      <c r="H70" t="s">
        <v>23</v>
      </c>
      <c r="I70">
        <v>7.2</v>
      </c>
      <c r="J70">
        <v>8</v>
      </c>
      <c r="K70" t="s">
        <v>24</v>
      </c>
      <c r="L70">
        <v>1</v>
      </c>
      <c r="M70">
        <v>4</v>
      </c>
      <c r="N70" t="str">
        <f t="shared" si="8"/>
        <v>Linkedin</v>
      </c>
      <c r="O70">
        <f t="shared" si="9"/>
        <v>0</v>
      </c>
      <c r="P70" t="str">
        <f t="shared" si="10"/>
        <v>7.2</v>
      </c>
      <c r="Q70" t="str">
        <f t="shared" si="11"/>
        <v>OK</v>
      </c>
      <c r="R70" t="str">
        <f t="shared" si="14"/>
        <v>medium</v>
      </c>
      <c r="S70" t="str">
        <f t="shared" si="12"/>
        <v>Low</v>
      </c>
      <c r="T70" t="str">
        <f t="shared" si="13"/>
        <v>4</v>
      </c>
      <c r="U70">
        <v>6.7</v>
      </c>
      <c r="V70" t="b">
        <f t="shared" si="15"/>
        <v>1</v>
      </c>
    </row>
    <row r="71" spans="1:22" x14ac:dyDescent="0.25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4.5</v>
      </c>
      <c r="G71" t="s">
        <v>16</v>
      </c>
      <c r="H71" t="s">
        <v>17</v>
      </c>
      <c r="I71">
        <v>5.9</v>
      </c>
      <c r="J71">
        <v>6</v>
      </c>
      <c r="K71" t="s">
        <v>27</v>
      </c>
      <c r="L71">
        <v>3</v>
      </c>
      <c r="M71">
        <v>7</v>
      </c>
      <c r="N71" t="str">
        <f t="shared" si="8"/>
        <v>Instagram</v>
      </c>
      <c r="O71">
        <f t="shared" si="9"/>
        <v>1</v>
      </c>
      <c r="P71" t="str">
        <f t="shared" si="10"/>
        <v>5.9</v>
      </c>
      <c r="Q71" t="str">
        <f t="shared" si="11"/>
        <v>OK</v>
      </c>
      <c r="R71" t="b">
        <f t="shared" si="14"/>
        <v>1</v>
      </c>
      <c r="S71" t="str">
        <f t="shared" si="12"/>
        <v>High</v>
      </c>
      <c r="T71" t="str">
        <f t="shared" si="13"/>
        <v>7</v>
      </c>
      <c r="U71">
        <v>6.7</v>
      </c>
      <c r="V71" t="b">
        <f t="shared" si="15"/>
        <v>1</v>
      </c>
    </row>
    <row r="72" spans="1:22" x14ac:dyDescent="0.25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5.4</v>
      </c>
      <c r="G72" t="s">
        <v>37</v>
      </c>
      <c r="H72" t="s">
        <v>17</v>
      </c>
      <c r="I72">
        <v>5.5</v>
      </c>
      <c r="J72">
        <v>5</v>
      </c>
      <c r="K72" t="s">
        <v>24</v>
      </c>
      <c r="L72">
        <v>4</v>
      </c>
      <c r="M72">
        <v>8</v>
      </c>
      <c r="N72" t="str">
        <f t="shared" si="8"/>
        <v>Snapchat</v>
      </c>
      <c r="O72">
        <f t="shared" si="9"/>
        <v>1</v>
      </c>
      <c r="P72" t="str">
        <f t="shared" si="10"/>
        <v>5.5</v>
      </c>
      <c r="Q72" t="str">
        <f t="shared" si="11"/>
        <v>OK</v>
      </c>
      <c r="R72" t="b">
        <f t="shared" si="14"/>
        <v>1</v>
      </c>
      <c r="S72" t="str">
        <f t="shared" si="12"/>
        <v>High</v>
      </c>
      <c r="T72" t="str">
        <f t="shared" si="13"/>
        <v>8</v>
      </c>
      <c r="U72">
        <v>6.7</v>
      </c>
      <c r="V72" t="b">
        <f t="shared" si="15"/>
        <v>1</v>
      </c>
    </row>
    <row r="73" spans="1:22" x14ac:dyDescent="0.25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3.2</v>
      </c>
      <c r="G73" t="s">
        <v>32</v>
      </c>
      <c r="H73" t="s">
        <v>23</v>
      </c>
      <c r="I73">
        <v>6.8</v>
      </c>
      <c r="J73">
        <v>7</v>
      </c>
      <c r="K73" t="s">
        <v>18</v>
      </c>
      <c r="L73">
        <v>2</v>
      </c>
      <c r="M73">
        <v>5</v>
      </c>
      <c r="N73" t="str">
        <f t="shared" si="8"/>
        <v>Facebook</v>
      </c>
      <c r="O73">
        <f t="shared" si="9"/>
        <v>0</v>
      </c>
      <c r="P73" t="str">
        <f t="shared" si="10"/>
        <v>6.8</v>
      </c>
      <c r="Q73" t="str">
        <f t="shared" si="11"/>
        <v>OK</v>
      </c>
      <c r="R73" t="str">
        <f t="shared" si="14"/>
        <v>medium</v>
      </c>
      <c r="S73" t="str">
        <f t="shared" si="12"/>
        <v>Medium</v>
      </c>
      <c r="T73" t="str">
        <f t="shared" si="13"/>
        <v>5</v>
      </c>
      <c r="U73">
        <v>6.7</v>
      </c>
      <c r="V73" t="b">
        <f t="shared" si="15"/>
        <v>1</v>
      </c>
    </row>
    <row r="74" spans="1:22" x14ac:dyDescent="0.25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4.9000000000000004</v>
      </c>
      <c r="G74" t="s">
        <v>26</v>
      </c>
      <c r="H74" t="s">
        <v>17</v>
      </c>
      <c r="I74">
        <v>5.7</v>
      </c>
      <c r="J74">
        <v>6</v>
      </c>
      <c r="K74" t="s">
        <v>27</v>
      </c>
      <c r="L74">
        <v>3</v>
      </c>
      <c r="M74">
        <v>7</v>
      </c>
      <c r="N74" t="str">
        <f t="shared" si="8"/>
        <v>Tiktok</v>
      </c>
      <c r="O74">
        <f t="shared" si="9"/>
        <v>2</v>
      </c>
      <c r="P74" t="str">
        <f t="shared" si="10"/>
        <v>5.7</v>
      </c>
      <c r="Q74" t="str">
        <f t="shared" si="11"/>
        <v>OK</v>
      </c>
      <c r="R74" t="b">
        <f t="shared" si="14"/>
        <v>1</v>
      </c>
      <c r="S74" t="str">
        <f t="shared" si="12"/>
        <v>High</v>
      </c>
      <c r="T74" t="str">
        <f t="shared" si="13"/>
        <v>7</v>
      </c>
      <c r="U74">
        <v>6.7</v>
      </c>
      <c r="V74" t="b">
        <f t="shared" si="15"/>
        <v>1</v>
      </c>
    </row>
    <row r="75" spans="1:22" x14ac:dyDescent="0.25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5.8</v>
      </c>
      <c r="G75" t="s">
        <v>16</v>
      </c>
      <c r="H75" t="s">
        <v>17</v>
      </c>
      <c r="I75">
        <v>5.3</v>
      </c>
      <c r="J75">
        <v>5</v>
      </c>
      <c r="K75" t="s">
        <v>24</v>
      </c>
      <c r="L75">
        <v>4</v>
      </c>
      <c r="M75">
        <v>8</v>
      </c>
      <c r="N75" t="str">
        <f t="shared" si="8"/>
        <v>Instagram</v>
      </c>
      <c r="O75">
        <f t="shared" si="9"/>
        <v>1</v>
      </c>
      <c r="P75" t="str">
        <f t="shared" si="10"/>
        <v>5.3</v>
      </c>
      <c r="Q75" t="str">
        <f t="shared" si="11"/>
        <v>OK</v>
      </c>
      <c r="R75" t="b">
        <f t="shared" si="14"/>
        <v>1</v>
      </c>
      <c r="S75" t="str">
        <f t="shared" si="12"/>
        <v>High</v>
      </c>
      <c r="T75" t="str">
        <f t="shared" si="13"/>
        <v>8</v>
      </c>
      <c r="U75">
        <v>6.7</v>
      </c>
      <c r="V75" t="b">
        <f t="shared" si="15"/>
        <v>1</v>
      </c>
    </row>
    <row r="76" spans="1:22" x14ac:dyDescent="0.25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2.5</v>
      </c>
      <c r="G76" t="s">
        <v>35</v>
      </c>
      <c r="H76" t="s">
        <v>23</v>
      </c>
      <c r="I76">
        <v>7.3</v>
      </c>
      <c r="J76">
        <v>8</v>
      </c>
      <c r="K76" t="s">
        <v>18</v>
      </c>
      <c r="L76">
        <v>1</v>
      </c>
      <c r="M76">
        <v>4</v>
      </c>
      <c r="N76" t="str">
        <f t="shared" si="8"/>
        <v>Linkedin</v>
      </c>
      <c r="O76">
        <f t="shared" si="9"/>
        <v>0</v>
      </c>
      <c r="P76" t="str">
        <f t="shared" si="10"/>
        <v>7.3</v>
      </c>
      <c r="Q76" t="str">
        <f t="shared" si="11"/>
        <v>OK</v>
      </c>
      <c r="R76" t="str">
        <f t="shared" si="14"/>
        <v>medium</v>
      </c>
      <c r="S76" t="str">
        <f t="shared" si="12"/>
        <v>Low</v>
      </c>
      <c r="T76" t="str">
        <f t="shared" si="13"/>
        <v>4</v>
      </c>
      <c r="U76">
        <v>6.7</v>
      </c>
      <c r="V76" t="b">
        <f t="shared" si="15"/>
        <v>1</v>
      </c>
    </row>
    <row r="77" spans="1:22" x14ac:dyDescent="0.25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4.5999999999999996</v>
      </c>
      <c r="G77" t="s">
        <v>37</v>
      </c>
      <c r="H77" t="s">
        <v>17</v>
      </c>
      <c r="I77">
        <v>5.8</v>
      </c>
      <c r="J77">
        <v>6</v>
      </c>
      <c r="K77" t="s">
        <v>24</v>
      </c>
      <c r="L77">
        <v>3</v>
      </c>
      <c r="M77">
        <v>7</v>
      </c>
      <c r="N77" t="str">
        <f t="shared" si="8"/>
        <v>Snapchat</v>
      </c>
      <c r="O77">
        <f t="shared" si="9"/>
        <v>1</v>
      </c>
      <c r="P77" t="str">
        <f t="shared" si="10"/>
        <v>5.8</v>
      </c>
      <c r="Q77" t="str">
        <f t="shared" si="11"/>
        <v>OK</v>
      </c>
      <c r="R77" t="b">
        <f t="shared" si="14"/>
        <v>1</v>
      </c>
      <c r="S77" t="str">
        <f t="shared" si="12"/>
        <v>High</v>
      </c>
      <c r="T77" t="str">
        <f t="shared" si="13"/>
        <v>7</v>
      </c>
      <c r="U77">
        <v>6.7</v>
      </c>
      <c r="V77" t="b">
        <f t="shared" si="15"/>
        <v>1</v>
      </c>
    </row>
    <row r="78" spans="1:22" x14ac:dyDescent="0.25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5.5</v>
      </c>
      <c r="G78" t="s">
        <v>26</v>
      </c>
      <c r="H78" t="s">
        <v>17</v>
      </c>
      <c r="I78">
        <v>5.4</v>
      </c>
      <c r="J78">
        <v>5</v>
      </c>
      <c r="K78" t="s">
        <v>27</v>
      </c>
      <c r="L78">
        <v>4</v>
      </c>
      <c r="M78">
        <v>8</v>
      </c>
      <c r="N78" t="str">
        <f t="shared" si="8"/>
        <v>Tiktok</v>
      </c>
      <c r="O78">
        <f t="shared" si="9"/>
        <v>2</v>
      </c>
      <c r="P78" t="str">
        <f t="shared" si="10"/>
        <v>5.4</v>
      </c>
      <c r="Q78" t="str">
        <f t="shared" si="11"/>
        <v>OK</v>
      </c>
      <c r="R78" t="b">
        <f t="shared" si="14"/>
        <v>1</v>
      </c>
      <c r="S78" t="str">
        <f t="shared" si="12"/>
        <v>High</v>
      </c>
      <c r="T78" t="str">
        <f t="shared" si="13"/>
        <v>8</v>
      </c>
      <c r="U78">
        <v>6.7</v>
      </c>
      <c r="V78" t="b">
        <f t="shared" si="15"/>
        <v>1</v>
      </c>
    </row>
    <row r="79" spans="1:22" x14ac:dyDescent="0.25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2.9</v>
      </c>
      <c r="G79" t="s">
        <v>32</v>
      </c>
      <c r="H79" t="s">
        <v>23</v>
      </c>
      <c r="I79">
        <v>7</v>
      </c>
      <c r="J79">
        <v>7</v>
      </c>
      <c r="K79" t="s">
        <v>18</v>
      </c>
      <c r="L79">
        <v>2</v>
      </c>
      <c r="M79">
        <v>5</v>
      </c>
      <c r="N79" t="str">
        <f t="shared" si="8"/>
        <v>Facebook</v>
      </c>
      <c r="O79">
        <f t="shared" si="9"/>
        <v>0</v>
      </c>
      <c r="P79" t="str">
        <f t="shared" si="10"/>
        <v>7</v>
      </c>
      <c r="Q79" t="str">
        <f t="shared" si="11"/>
        <v>OK</v>
      </c>
      <c r="R79" t="str">
        <f t="shared" si="14"/>
        <v>medium</v>
      </c>
      <c r="S79" t="str">
        <f t="shared" si="12"/>
        <v>Medium</v>
      </c>
      <c r="T79" t="str">
        <f t="shared" si="13"/>
        <v>5</v>
      </c>
      <c r="U79">
        <v>6.7</v>
      </c>
      <c r="V79" t="b">
        <f t="shared" si="15"/>
        <v>1</v>
      </c>
    </row>
    <row r="80" spans="1:22" x14ac:dyDescent="0.25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4.7</v>
      </c>
      <c r="G80" t="s">
        <v>30</v>
      </c>
      <c r="H80" t="s">
        <v>17</v>
      </c>
      <c r="I80">
        <v>5.9</v>
      </c>
      <c r="J80">
        <v>6</v>
      </c>
      <c r="K80" t="s">
        <v>24</v>
      </c>
      <c r="L80">
        <v>3</v>
      </c>
      <c r="M80">
        <v>7</v>
      </c>
      <c r="N80" t="str">
        <f t="shared" si="8"/>
        <v>Youtube</v>
      </c>
      <c r="O80">
        <f t="shared" si="9"/>
        <v>1</v>
      </c>
      <c r="P80" t="str">
        <f t="shared" si="10"/>
        <v>5.9</v>
      </c>
      <c r="Q80" t="str">
        <f t="shared" si="11"/>
        <v>OK</v>
      </c>
      <c r="R80" t="b">
        <f t="shared" si="14"/>
        <v>1</v>
      </c>
      <c r="S80" t="str">
        <f t="shared" si="12"/>
        <v>High</v>
      </c>
      <c r="T80" t="str">
        <f t="shared" si="13"/>
        <v>7</v>
      </c>
      <c r="U80">
        <v>6.6</v>
      </c>
      <c r="V80" t="b">
        <f t="shared" si="15"/>
        <v>1</v>
      </c>
    </row>
    <row r="81" spans="1:22" x14ac:dyDescent="0.25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5.9</v>
      </c>
      <c r="G81" t="s">
        <v>16</v>
      </c>
      <c r="H81" t="s">
        <v>17</v>
      </c>
      <c r="I81">
        <v>5.2</v>
      </c>
      <c r="J81">
        <v>5</v>
      </c>
      <c r="K81" t="s">
        <v>27</v>
      </c>
      <c r="L81">
        <v>4</v>
      </c>
      <c r="M81">
        <v>9</v>
      </c>
      <c r="N81" t="str">
        <f t="shared" si="8"/>
        <v>Instagram</v>
      </c>
      <c r="O81">
        <f t="shared" si="9"/>
        <v>1</v>
      </c>
      <c r="P81" t="str">
        <f t="shared" si="10"/>
        <v>5.2</v>
      </c>
      <c r="Q81" t="str">
        <f t="shared" si="11"/>
        <v>OK</v>
      </c>
      <c r="R81" t="b">
        <f t="shared" si="14"/>
        <v>1</v>
      </c>
      <c r="S81" t="str">
        <f t="shared" si="12"/>
        <v>High</v>
      </c>
      <c r="T81" t="str">
        <f t="shared" si="13"/>
        <v>9</v>
      </c>
      <c r="U81">
        <v>6.6</v>
      </c>
      <c r="V81" t="b">
        <f t="shared" si="15"/>
        <v>1</v>
      </c>
    </row>
    <row r="82" spans="1:22" x14ac:dyDescent="0.25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3</v>
      </c>
      <c r="G82" t="s">
        <v>35</v>
      </c>
      <c r="H82" t="s">
        <v>23</v>
      </c>
      <c r="I82">
        <v>7.1</v>
      </c>
      <c r="J82">
        <v>8</v>
      </c>
      <c r="K82" t="s">
        <v>18</v>
      </c>
      <c r="L82">
        <v>1</v>
      </c>
      <c r="M82">
        <v>4</v>
      </c>
      <c r="N82" t="str">
        <f t="shared" si="8"/>
        <v>Linkedin</v>
      </c>
      <c r="O82">
        <f t="shared" si="9"/>
        <v>0</v>
      </c>
      <c r="P82" t="str">
        <f t="shared" si="10"/>
        <v>7.1</v>
      </c>
      <c r="Q82" t="str">
        <f t="shared" si="11"/>
        <v>OK</v>
      </c>
      <c r="R82" t="str">
        <f t="shared" si="14"/>
        <v>medium</v>
      </c>
      <c r="S82" t="str">
        <f t="shared" si="12"/>
        <v>Low</v>
      </c>
      <c r="T82" t="str">
        <f t="shared" si="13"/>
        <v>4</v>
      </c>
      <c r="U82">
        <v>6.6</v>
      </c>
      <c r="V82" t="b">
        <f t="shared" si="15"/>
        <v>1</v>
      </c>
    </row>
    <row r="83" spans="1:22" x14ac:dyDescent="0.25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4.8</v>
      </c>
      <c r="G83" t="s">
        <v>26</v>
      </c>
      <c r="H83" t="s">
        <v>17</v>
      </c>
      <c r="I83">
        <v>5.7</v>
      </c>
      <c r="J83">
        <v>6</v>
      </c>
      <c r="K83" t="s">
        <v>24</v>
      </c>
      <c r="L83">
        <v>3</v>
      </c>
      <c r="M83">
        <v>7</v>
      </c>
      <c r="N83" t="str">
        <f t="shared" si="8"/>
        <v>Tiktok</v>
      </c>
      <c r="O83">
        <f t="shared" si="9"/>
        <v>2</v>
      </c>
      <c r="P83" t="str">
        <f t="shared" si="10"/>
        <v>5.7</v>
      </c>
      <c r="Q83" t="str">
        <f t="shared" si="11"/>
        <v>OK</v>
      </c>
      <c r="R83" t="b">
        <f t="shared" si="14"/>
        <v>1</v>
      </c>
      <c r="S83" t="str">
        <f t="shared" si="12"/>
        <v>High</v>
      </c>
      <c r="T83" t="str">
        <f t="shared" si="13"/>
        <v>7</v>
      </c>
      <c r="U83">
        <v>6.6</v>
      </c>
      <c r="V83" t="b">
        <f t="shared" si="15"/>
        <v>1</v>
      </c>
    </row>
    <row r="84" spans="1:22" x14ac:dyDescent="0.25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3.8</v>
      </c>
      <c r="G84" t="s">
        <v>32</v>
      </c>
      <c r="H84" t="s">
        <v>23</v>
      </c>
      <c r="I84">
        <v>6.6</v>
      </c>
      <c r="J84">
        <v>7</v>
      </c>
      <c r="K84" t="s">
        <v>27</v>
      </c>
      <c r="L84">
        <v>2</v>
      </c>
      <c r="M84">
        <v>6</v>
      </c>
      <c r="N84" t="str">
        <f t="shared" si="8"/>
        <v>Facebook</v>
      </c>
      <c r="O84">
        <f t="shared" si="9"/>
        <v>0</v>
      </c>
      <c r="P84" t="str">
        <f t="shared" si="10"/>
        <v>6.6</v>
      </c>
      <c r="Q84" t="str">
        <f t="shared" si="11"/>
        <v>OK</v>
      </c>
      <c r="R84" t="str">
        <f t="shared" si="14"/>
        <v>medium</v>
      </c>
      <c r="S84" t="str">
        <f t="shared" si="12"/>
        <v>Medium</v>
      </c>
      <c r="T84" t="str">
        <f t="shared" si="13"/>
        <v>6</v>
      </c>
      <c r="U84">
        <v>6.6</v>
      </c>
      <c r="V84" t="b">
        <f t="shared" si="15"/>
        <v>1</v>
      </c>
    </row>
    <row r="85" spans="1:22" x14ac:dyDescent="0.25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2.7</v>
      </c>
      <c r="G85" t="s">
        <v>35</v>
      </c>
      <c r="H85" t="s">
        <v>23</v>
      </c>
      <c r="I85">
        <v>7.2</v>
      </c>
      <c r="J85">
        <v>8</v>
      </c>
      <c r="K85" t="s">
        <v>18</v>
      </c>
      <c r="L85">
        <v>1</v>
      </c>
      <c r="M85">
        <v>4</v>
      </c>
      <c r="N85" t="str">
        <f t="shared" si="8"/>
        <v>Linkedin</v>
      </c>
      <c r="O85">
        <f t="shared" si="9"/>
        <v>0</v>
      </c>
      <c r="P85" t="str">
        <f t="shared" si="10"/>
        <v>7.2</v>
      </c>
      <c r="Q85" t="str">
        <f t="shared" si="11"/>
        <v>OK</v>
      </c>
      <c r="R85" t="str">
        <f t="shared" si="14"/>
        <v>medium</v>
      </c>
      <c r="S85" t="str">
        <f t="shared" si="12"/>
        <v>Low</v>
      </c>
      <c r="T85" t="str">
        <f t="shared" si="13"/>
        <v>4</v>
      </c>
      <c r="U85">
        <v>6.6</v>
      </c>
      <c r="V85" t="b">
        <f t="shared" si="15"/>
        <v>1</v>
      </c>
    </row>
    <row r="86" spans="1:22" x14ac:dyDescent="0.25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5.6</v>
      </c>
      <c r="G86" t="s">
        <v>37</v>
      </c>
      <c r="H86" t="s">
        <v>17</v>
      </c>
      <c r="I86">
        <v>5.3</v>
      </c>
      <c r="J86">
        <v>5</v>
      </c>
      <c r="K86" t="s">
        <v>24</v>
      </c>
      <c r="L86">
        <v>4</v>
      </c>
      <c r="M86">
        <v>8</v>
      </c>
      <c r="N86" t="str">
        <f t="shared" si="8"/>
        <v>Snapchat</v>
      </c>
      <c r="O86">
        <f t="shared" si="9"/>
        <v>1</v>
      </c>
      <c r="P86" t="str">
        <f t="shared" si="10"/>
        <v>5.3</v>
      </c>
      <c r="Q86" t="str">
        <f t="shared" si="11"/>
        <v>OK</v>
      </c>
      <c r="R86" t="b">
        <f t="shared" si="14"/>
        <v>1</v>
      </c>
      <c r="S86" t="str">
        <f t="shared" si="12"/>
        <v>High</v>
      </c>
      <c r="T86" t="str">
        <f t="shared" si="13"/>
        <v>8</v>
      </c>
      <c r="U86">
        <v>6.6</v>
      </c>
      <c r="V86" t="b">
        <f t="shared" si="15"/>
        <v>1</v>
      </c>
    </row>
    <row r="87" spans="1:22" x14ac:dyDescent="0.25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4.5</v>
      </c>
      <c r="G87" t="s">
        <v>16</v>
      </c>
      <c r="H87" t="s">
        <v>17</v>
      </c>
      <c r="I87">
        <v>5.8</v>
      </c>
      <c r="J87">
        <v>6</v>
      </c>
      <c r="K87" t="s">
        <v>27</v>
      </c>
      <c r="L87">
        <v>3</v>
      </c>
      <c r="M87">
        <v>7</v>
      </c>
      <c r="N87" t="str">
        <f t="shared" si="8"/>
        <v>Instagram</v>
      </c>
      <c r="O87">
        <f t="shared" si="9"/>
        <v>1</v>
      </c>
      <c r="P87" t="str">
        <f t="shared" si="10"/>
        <v>5.8</v>
      </c>
      <c r="Q87" t="str">
        <f t="shared" si="11"/>
        <v>OK</v>
      </c>
      <c r="R87" t="b">
        <f t="shared" si="14"/>
        <v>1</v>
      </c>
      <c r="S87" t="str">
        <f t="shared" si="12"/>
        <v>High</v>
      </c>
      <c r="T87" t="str">
        <f t="shared" si="13"/>
        <v>7</v>
      </c>
      <c r="U87">
        <v>6.6</v>
      </c>
      <c r="V87" t="b">
        <f t="shared" si="15"/>
        <v>1</v>
      </c>
    </row>
    <row r="88" spans="1:22" x14ac:dyDescent="0.25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5.3</v>
      </c>
      <c r="G88" t="s">
        <v>26</v>
      </c>
      <c r="H88" t="s">
        <v>17</v>
      </c>
      <c r="I88">
        <v>5.5</v>
      </c>
      <c r="J88">
        <v>5</v>
      </c>
      <c r="K88" t="s">
        <v>18</v>
      </c>
      <c r="L88">
        <v>4</v>
      </c>
      <c r="M88">
        <v>8</v>
      </c>
      <c r="N88" t="str">
        <f t="shared" si="8"/>
        <v>Tiktok</v>
      </c>
      <c r="O88">
        <f t="shared" si="9"/>
        <v>2</v>
      </c>
      <c r="P88" t="str">
        <f t="shared" si="10"/>
        <v>5.5</v>
      </c>
      <c r="Q88" t="str">
        <f t="shared" si="11"/>
        <v>OK</v>
      </c>
      <c r="R88" t="b">
        <f t="shared" si="14"/>
        <v>1</v>
      </c>
      <c r="S88" t="str">
        <f t="shared" si="12"/>
        <v>High</v>
      </c>
      <c r="T88" t="str">
        <f t="shared" si="13"/>
        <v>8</v>
      </c>
      <c r="U88">
        <v>6.5</v>
      </c>
      <c r="V88" t="b">
        <f t="shared" si="15"/>
        <v>1</v>
      </c>
    </row>
    <row r="89" spans="1:22" x14ac:dyDescent="0.25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2.6</v>
      </c>
      <c r="G89" t="s">
        <v>35</v>
      </c>
      <c r="H89" t="s">
        <v>23</v>
      </c>
      <c r="I89">
        <v>7.3</v>
      </c>
      <c r="J89">
        <v>8</v>
      </c>
      <c r="K89" t="s">
        <v>24</v>
      </c>
      <c r="L89">
        <v>1</v>
      </c>
      <c r="M89">
        <v>4</v>
      </c>
      <c r="N89" t="str">
        <f t="shared" si="8"/>
        <v>Linkedin</v>
      </c>
      <c r="O89">
        <f t="shared" si="9"/>
        <v>0</v>
      </c>
      <c r="P89" t="str">
        <f t="shared" si="10"/>
        <v>7.3</v>
      </c>
      <c r="Q89" t="str">
        <f t="shared" si="11"/>
        <v>OK</v>
      </c>
      <c r="R89" t="str">
        <f t="shared" si="14"/>
        <v>medium</v>
      </c>
      <c r="S89" t="str">
        <f t="shared" si="12"/>
        <v>Low</v>
      </c>
      <c r="T89" t="str">
        <f t="shared" si="13"/>
        <v>4</v>
      </c>
      <c r="U89">
        <v>6.5</v>
      </c>
      <c r="V89" t="b">
        <f t="shared" si="15"/>
        <v>1</v>
      </c>
    </row>
    <row r="90" spans="1:22" x14ac:dyDescent="0.25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4.4000000000000004</v>
      </c>
      <c r="G90" t="s">
        <v>30</v>
      </c>
      <c r="H90" t="s">
        <v>17</v>
      </c>
      <c r="I90">
        <v>6</v>
      </c>
      <c r="J90">
        <v>6</v>
      </c>
      <c r="K90" t="s">
        <v>27</v>
      </c>
      <c r="L90">
        <v>3</v>
      </c>
      <c r="M90">
        <v>7</v>
      </c>
      <c r="N90" t="str">
        <f t="shared" si="8"/>
        <v>Youtube</v>
      </c>
      <c r="O90">
        <f t="shared" si="9"/>
        <v>1</v>
      </c>
      <c r="P90" t="str">
        <f t="shared" si="10"/>
        <v>6</v>
      </c>
      <c r="Q90" t="str">
        <f t="shared" si="11"/>
        <v>OK</v>
      </c>
      <c r="R90" t="b">
        <f t="shared" si="14"/>
        <v>1</v>
      </c>
      <c r="S90" t="str">
        <f t="shared" si="12"/>
        <v>High</v>
      </c>
      <c r="T90" t="str">
        <f t="shared" si="13"/>
        <v>7</v>
      </c>
      <c r="U90">
        <v>6.5</v>
      </c>
      <c r="V90" t="b">
        <f t="shared" si="15"/>
        <v>1</v>
      </c>
    </row>
    <row r="91" spans="1:22" x14ac:dyDescent="0.25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5.8</v>
      </c>
      <c r="G91" t="s">
        <v>16</v>
      </c>
      <c r="H91" t="s">
        <v>17</v>
      </c>
      <c r="I91">
        <v>5.2</v>
      </c>
      <c r="J91">
        <v>5</v>
      </c>
      <c r="K91" t="s">
        <v>24</v>
      </c>
      <c r="L91">
        <v>4</v>
      </c>
      <c r="M91">
        <v>9</v>
      </c>
      <c r="N91" t="str">
        <f t="shared" si="8"/>
        <v>Instagram</v>
      </c>
      <c r="O91">
        <f t="shared" si="9"/>
        <v>1</v>
      </c>
      <c r="P91" t="str">
        <f t="shared" si="10"/>
        <v>5.2</v>
      </c>
      <c r="Q91" t="str">
        <f t="shared" si="11"/>
        <v>OK</v>
      </c>
      <c r="R91" t="b">
        <f t="shared" si="14"/>
        <v>1</v>
      </c>
      <c r="S91" t="str">
        <f t="shared" si="12"/>
        <v>High</v>
      </c>
      <c r="T91" t="str">
        <f t="shared" si="13"/>
        <v>9</v>
      </c>
      <c r="U91">
        <v>6.5</v>
      </c>
      <c r="V91" t="b">
        <f t="shared" si="15"/>
        <v>1</v>
      </c>
    </row>
    <row r="92" spans="1:22" x14ac:dyDescent="0.25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2.9</v>
      </c>
      <c r="G92" t="s">
        <v>32</v>
      </c>
      <c r="H92" t="s">
        <v>23</v>
      </c>
      <c r="I92">
        <v>7</v>
      </c>
      <c r="J92">
        <v>7</v>
      </c>
      <c r="K92" t="s">
        <v>18</v>
      </c>
      <c r="L92">
        <v>2</v>
      </c>
      <c r="M92">
        <v>5</v>
      </c>
      <c r="N92" t="str">
        <f t="shared" si="8"/>
        <v>Facebook</v>
      </c>
      <c r="O92">
        <f t="shared" si="9"/>
        <v>0</v>
      </c>
      <c r="P92" t="str">
        <f t="shared" si="10"/>
        <v>7</v>
      </c>
      <c r="Q92" t="str">
        <f t="shared" si="11"/>
        <v>OK</v>
      </c>
      <c r="R92" t="str">
        <f t="shared" si="14"/>
        <v>medium</v>
      </c>
      <c r="S92" t="str">
        <f t="shared" si="12"/>
        <v>Medium</v>
      </c>
      <c r="T92" t="str">
        <f t="shared" si="13"/>
        <v>5</v>
      </c>
      <c r="U92">
        <v>6.5</v>
      </c>
      <c r="V92" t="b">
        <f t="shared" si="15"/>
        <v>1</v>
      </c>
    </row>
    <row r="93" spans="1:22" x14ac:dyDescent="0.25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4.7</v>
      </c>
      <c r="G93" t="s">
        <v>26</v>
      </c>
      <c r="H93" t="s">
        <v>17</v>
      </c>
      <c r="I93">
        <v>5.8</v>
      </c>
      <c r="J93">
        <v>6</v>
      </c>
      <c r="K93" t="s">
        <v>27</v>
      </c>
      <c r="L93">
        <v>3</v>
      </c>
      <c r="M93">
        <v>7</v>
      </c>
      <c r="N93" t="str">
        <f t="shared" si="8"/>
        <v>Tiktok</v>
      </c>
      <c r="O93">
        <f t="shared" si="9"/>
        <v>2</v>
      </c>
      <c r="P93" t="str">
        <f t="shared" si="10"/>
        <v>5.8</v>
      </c>
      <c r="Q93" t="str">
        <f t="shared" si="11"/>
        <v>OK</v>
      </c>
      <c r="R93" t="b">
        <f t="shared" si="14"/>
        <v>1</v>
      </c>
      <c r="S93" t="str">
        <f t="shared" si="12"/>
        <v>High</v>
      </c>
      <c r="T93" t="str">
        <f t="shared" si="13"/>
        <v>7</v>
      </c>
      <c r="U93">
        <v>6.5</v>
      </c>
      <c r="V93" t="b">
        <f t="shared" si="15"/>
        <v>1</v>
      </c>
    </row>
    <row r="94" spans="1:22" x14ac:dyDescent="0.25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3.7</v>
      </c>
      <c r="G94" t="s">
        <v>37</v>
      </c>
      <c r="H94" t="s">
        <v>23</v>
      </c>
      <c r="I94">
        <v>6.5</v>
      </c>
      <c r="J94">
        <v>7</v>
      </c>
      <c r="K94" t="s">
        <v>24</v>
      </c>
      <c r="L94">
        <v>2</v>
      </c>
      <c r="M94">
        <v>6</v>
      </c>
      <c r="N94" t="str">
        <f t="shared" si="8"/>
        <v>Snapchat</v>
      </c>
      <c r="O94">
        <f t="shared" si="9"/>
        <v>1</v>
      </c>
      <c r="P94" t="str">
        <f t="shared" si="10"/>
        <v>6.5</v>
      </c>
      <c r="Q94" t="str">
        <f t="shared" si="11"/>
        <v>OK</v>
      </c>
      <c r="R94" t="str">
        <f t="shared" si="14"/>
        <v>medium</v>
      </c>
      <c r="S94" t="str">
        <f t="shared" si="12"/>
        <v>Medium</v>
      </c>
      <c r="T94" t="str">
        <f t="shared" si="13"/>
        <v>6</v>
      </c>
      <c r="U94">
        <v>6.5</v>
      </c>
      <c r="V94" t="b">
        <f t="shared" si="15"/>
        <v>1</v>
      </c>
    </row>
    <row r="95" spans="1:22" x14ac:dyDescent="0.25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5.5</v>
      </c>
      <c r="G95" t="s">
        <v>16</v>
      </c>
      <c r="H95" t="s">
        <v>17</v>
      </c>
      <c r="I95">
        <v>5.4</v>
      </c>
      <c r="J95">
        <v>5</v>
      </c>
      <c r="K95" t="s">
        <v>18</v>
      </c>
      <c r="L95">
        <v>4</v>
      </c>
      <c r="M95">
        <v>8</v>
      </c>
      <c r="N95" t="str">
        <f t="shared" si="8"/>
        <v>Instagram</v>
      </c>
      <c r="O95">
        <f t="shared" si="9"/>
        <v>1</v>
      </c>
      <c r="P95" t="str">
        <f t="shared" si="10"/>
        <v>5.4</v>
      </c>
      <c r="Q95" t="str">
        <f t="shared" si="11"/>
        <v>OK</v>
      </c>
      <c r="R95" t="b">
        <f t="shared" si="14"/>
        <v>1</v>
      </c>
      <c r="S95" t="str">
        <f t="shared" si="12"/>
        <v>High</v>
      </c>
      <c r="T95" t="str">
        <f t="shared" si="13"/>
        <v>8</v>
      </c>
      <c r="U95">
        <v>6.5</v>
      </c>
      <c r="V95" t="b">
        <f t="shared" si="15"/>
        <v>1</v>
      </c>
    </row>
    <row r="96" spans="1:22" x14ac:dyDescent="0.25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2.4</v>
      </c>
      <c r="G96" t="s">
        <v>35</v>
      </c>
      <c r="H96" t="s">
        <v>23</v>
      </c>
      <c r="I96">
        <v>7.4</v>
      </c>
      <c r="J96">
        <v>8</v>
      </c>
      <c r="K96" t="s">
        <v>27</v>
      </c>
      <c r="L96">
        <v>1</v>
      </c>
      <c r="M96">
        <v>4</v>
      </c>
      <c r="N96" t="str">
        <f t="shared" si="8"/>
        <v>Linkedin</v>
      </c>
      <c r="O96">
        <f t="shared" si="9"/>
        <v>0</v>
      </c>
      <c r="P96" t="str">
        <f t="shared" si="10"/>
        <v>7.4</v>
      </c>
      <c r="Q96" t="str">
        <f t="shared" si="11"/>
        <v>OK</v>
      </c>
      <c r="R96" t="str">
        <f t="shared" si="14"/>
        <v>medium</v>
      </c>
      <c r="S96" t="str">
        <f t="shared" si="12"/>
        <v>Low</v>
      </c>
      <c r="T96" t="str">
        <f t="shared" si="13"/>
        <v>4</v>
      </c>
      <c r="U96">
        <v>6.5</v>
      </c>
      <c r="V96" t="b">
        <f t="shared" si="15"/>
        <v>1</v>
      </c>
    </row>
    <row r="97" spans="1:22" x14ac:dyDescent="0.25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4.9000000000000004</v>
      </c>
      <c r="G97" t="s">
        <v>26</v>
      </c>
      <c r="H97" t="s">
        <v>17</v>
      </c>
      <c r="I97">
        <v>5.7</v>
      </c>
      <c r="J97">
        <v>6</v>
      </c>
      <c r="K97" t="s">
        <v>24</v>
      </c>
      <c r="L97">
        <v>3</v>
      </c>
      <c r="M97">
        <v>7</v>
      </c>
      <c r="N97" t="str">
        <f t="shared" si="8"/>
        <v>Tiktok</v>
      </c>
      <c r="O97">
        <f t="shared" si="9"/>
        <v>2</v>
      </c>
      <c r="P97" t="str">
        <f t="shared" si="10"/>
        <v>5.7</v>
      </c>
      <c r="Q97" t="str">
        <f t="shared" si="11"/>
        <v>OK</v>
      </c>
      <c r="R97" t="b">
        <f t="shared" si="14"/>
        <v>1</v>
      </c>
      <c r="S97" t="str">
        <f t="shared" si="12"/>
        <v>High</v>
      </c>
      <c r="T97" t="str">
        <f t="shared" si="13"/>
        <v>7</v>
      </c>
      <c r="U97">
        <v>6.5</v>
      </c>
      <c r="V97" t="b">
        <f t="shared" si="15"/>
        <v>1</v>
      </c>
    </row>
    <row r="98" spans="1:22" x14ac:dyDescent="0.25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5.7</v>
      </c>
      <c r="G98" t="s">
        <v>37</v>
      </c>
      <c r="H98" t="s">
        <v>17</v>
      </c>
      <c r="I98">
        <v>5.3</v>
      </c>
      <c r="J98">
        <v>5</v>
      </c>
      <c r="K98" t="s">
        <v>18</v>
      </c>
      <c r="L98">
        <v>4</v>
      </c>
      <c r="M98">
        <v>8</v>
      </c>
      <c r="N98" t="str">
        <f t="shared" si="8"/>
        <v>Snapchat</v>
      </c>
      <c r="O98">
        <f t="shared" si="9"/>
        <v>1</v>
      </c>
      <c r="P98" t="str">
        <f t="shared" si="10"/>
        <v>5.3</v>
      </c>
      <c r="Q98" t="str">
        <f t="shared" si="11"/>
        <v>OK</v>
      </c>
      <c r="R98" t="b">
        <f t="shared" si="14"/>
        <v>1</v>
      </c>
      <c r="S98" t="str">
        <f t="shared" si="12"/>
        <v>High</v>
      </c>
      <c r="T98" t="str">
        <f t="shared" si="13"/>
        <v>8</v>
      </c>
      <c r="U98">
        <v>6.4</v>
      </c>
      <c r="V98" t="b">
        <f t="shared" si="15"/>
        <v>1</v>
      </c>
    </row>
    <row r="99" spans="1:22" x14ac:dyDescent="0.25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2.8</v>
      </c>
      <c r="G99" t="s">
        <v>35</v>
      </c>
      <c r="H99" t="s">
        <v>23</v>
      </c>
      <c r="I99">
        <v>7.1</v>
      </c>
      <c r="J99">
        <v>8</v>
      </c>
      <c r="K99" t="s">
        <v>27</v>
      </c>
      <c r="L99">
        <v>1</v>
      </c>
      <c r="M99">
        <v>4</v>
      </c>
      <c r="N99" t="str">
        <f t="shared" si="8"/>
        <v>Linkedin</v>
      </c>
      <c r="O99">
        <f t="shared" si="9"/>
        <v>0</v>
      </c>
      <c r="P99" t="str">
        <f t="shared" si="10"/>
        <v>7.1</v>
      </c>
      <c r="Q99" t="str">
        <f t="shared" si="11"/>
        <v>OK</v>
      </c>
      <c r="R99" t="str">
        <f t="shared" si="14"/>
        <v>medium</v>
      </c>
      <c r="S99" t="str">
        <f t="shared" si="12"/>
        <v>Low</v>
      </c>
      <c r="T99" t="str">
        <f t="shared" si="13"/>
        <v>4</v>
      </c>
      <c r="U99">
        <v>6.4</v>
      </c>
      <c r="V99" t="b">
        <f t="shared" si="15"/>
        <v>1</v>
      </c>
    </row>
    <row r="100" spans="1:22" x14ac:dyDescent="0.25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4.5999999999999996</v>
      </c>
      <c r="G100" t="s">
        <v>16</v>
      </c>
      <c r="H100" t="s">
        <v>17</v>
      </c>
      <c r="I100">
        <v>5.9</v>
      </c>
      <c r="J100">
        <v>6</v>
      </c>
      <c r="K100" t="s">
        <v>24</v>
      </c>
      <c r="L100">
        <v>3</v>
      </c>
      <c r="M100">
        <v>7</v>
      </c>
      <c r="N100" t="str">
        <f t="shared" si="8"/>
        <v>Instagram</v>
      </c>
      <c r="O100">
        <f t="shared" si="9"/>
        <v>1</v>
      </c>
      <c r="P100" t="str">
        <f t="shared" si="10"/>
        <v>5.9</v>
      </c>
      <c r="Q100" t="str">
        <f t="shared" si="11"/>
        <v>OK</v>
      </c>
      <c r="R100" t="b">
        <f t="shared" si="14"/>
        <v>1</v>
      </c>
      <c r="S100" t="str">
        <f t="shared" si="12"/>
        <v>High</v>
      </c>
      <c r="T100" t="str">
        <f t="shared" si="13"/>
        <v>7</v>
      </c>
      <c r="U100">
        <v>6.4</v>
      </c>
      <c r="V100" t="b">
        <f t="shared" si="15"/>
        <v>1</v>
      </c>
    </row>
    <row r="101" spans="1:22" x14ac:dyDescent="0.25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5.4</v>
      </c>
      <c r="G101" t="s">
        <v>26</v>
      </c>
      <c r="H101" t="s">
        <v>17</v>
      </c>
      <c r="I101">
        <v>5.5</v>
      </c>
      <c r="J101">
        <v>5</v>
      </c>
      <c r="K101" t="s">
        <v>18</v>
      </c>
      <c r="L101">
        <v>4</v>
      </c>
      <c r="M101">
        <v>8</v>
      </c>
      <c r="N101" t="str">
        <f t="shared" si="8"/>
        <v>Tiktok</v>
      </c>
      <c r="O101">
        <f t="shared" si="9"/>
        <v>2</v>
      </c>
      <c r="P101" t="str">
        <f t="shared" si="10"/>
        <v>5.5</v>
      </c>
      <c r="Q101" t="str">
        <f t="shared" si="11"/>
        <v>OK</v>
      </c>
      <c r="R101" t="b">
        <f t="shared" si="14"/>
        <v>1</v>
      </c>
      <c r="S101" t="str">
        <f t="shared" si="12"/>
        <v>High</v>
      </c>
      <c r="T101" t="str">
        <f t="shared" si="13"/>
        <v>8</v>
      </c>
      <c r="U101">
        <v>6.4</v>
      </c>
      <c r="V101" t="b">
        <f t="shared" si="15"/>
        <v>1</v>
      </c>
    </row>
    <row r="102" spans="1:22" x14ac:dyDescent="0.25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5.8</v>
      </c>
      <c r="G102" t="s">
        <v>30</v>
      </c>
      <c r="H102" t="s">
        <v>17</v>
      </c>
      <c r="I102">
        <v>5.2</v>
      </c>
      <c r="J102">
        <v>5</v>
      </c>
      <c r="K102" t="s">
        <v>27</v>
      </c>
      <c r="L102">
        <v>4</v>
      </c>
      <c r="M102">
        <v>9</v>
      </c>
      <c r="N102" t="str">
        <f t="shared" si="8"/>
        <v>Youtube</v>
      </c>
      <c r="O102">
        <f t="shared" si="9"/>
        <v>1</v>
      </c>
      <c r="P102" t="str">
        <f t="shared" si="10"/>
        <v>5.2</v>
      </c>
      <c r="Q102" t="str">
        <f t="shared" si="11"/>
        <v>OK</v>
      </c>
      <c r="R102" t="b">
        <f t="shared" si="14"/>
        <v>1</v>
      </c>
      <c r="S102" t="str">
        <f t="shared" si="12"/>
        <v>High</v>
      </c>
      <c r="T102" t="str">
        <f t="shared" si="13"/>
        <v>9</v>
      </c>
      <c r="U102">
        <v>6.4</v>
      </c>
      <c r="V102" t="b">
        <f t="shared" si="15"/>
        <v>1</v>
      </c>
    </row>
    <row r="103" spans="1:22" x14ac:dyDescent="0.25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2.5</v>
      </c>
      <c r="G103" t="s">
        <v>35</v>
      </c>
      <c r="H103" t="s">
        <v>23</v>
      </c>
      <c r="I103">
        <v>7.3</v>
      </c>
      <c r="J103">
        <v>8</v>
      </c>
      <c r="K103" t="s">
        <v>24</v>
      </c>
      <c r="L103">
        <v>1</v>
      </c>
      <c r="M103">
        <v>4</v>
      </c>
      <c r="N103" t="str">
        <f t="shared" si="8"/>
        <v>Linkedin</v>
      </c>
      <c r="O103">
        <f t="shared" si="9"/>
        <v>0</v>
      </c>
      <c r="P103" t="str">
        <f t="shared" si="10"/>
        <v>7.3</v>
      </c>
      <c r="Q103" t="str">
        <f t="shared" si="11"/>
        <v>OK</v>
      </c>
      <c r="R103" t="str">
        <f t="shared" si="14"/>
        <v>medium</v>
      </c>
      <c r="S103" t="str">
        <f t="shared" si="12"/>
        <v>Low</v>
      </c>
      <c r="T103" t="str">
        <f t="shared" si="13"/>
        <v>4</v>
      </c>
      <c r="U103">
        <v>6.4</v>
      </c>
      <c r="V103" t="b">
        <f t="shared" si="15"/>
        <v>1</v>
      </c>
    </row>
    <row r="104" spans="1:22" x14ac:dyDescent="0.25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4.7</v>
      </c>
      <c r="G104" t="s">
        <v>32</v>
      </c>
      <c r="H104" t="s">
        <v>17</v>
      </c>
      <c r="I104">
        <v>5.8</v>
      </c>
      <c r="J104">
        <v>6</v>
      </c>
      <c r="K104" t="s">
        <v>18</v>
      </c>
      <c r="L104">
        <v>3</v>
      </c>
      <c r="M104">
        <v>7</v>
      </c>
      <c r="N104" t="str">
        <f t="shared" si="8"/>
        <v>Facebook</v>
      </c>
      <c r="O104">
        <f t="shared" si="9"/>
        <v>0</v>
      </c>
      <c r="P104" t="str">
        <f t="shared" si="10"/>
        <v>5.8</v>
      </c>
      <c r="Q104" t="str">
        <f t="shared" si="11"/>
        <v>OK</v>
      </c>
      <c r="R104" t="b">
        <f t="shared" si="14"/>
        <v>1</v>
      </c>
      <c r="S104" t="str">
        <f t="shared" si="12"/>
        <v>High</v>
      </c>
      <c r="T104" t="str">
        <f t="shared" si="13"/>
        <v>7</v>
      </c>
      <c r="U104">
        <v>6.4</v>
      </c>
      <c r="V104" t="b">
        <f t="shared" si="15"/>
        <v>1</v>
      </c>
    </row>
    <row r="105" spans="1:22" x14ac:dyDescent="0.25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5.6</v>
      </c>
      <c r="G105" t="s">
        <v>16</v>
      </c>
      <c r="H105" t="s">
        <v>17</v>
      </c>
      <c r="I105">
        <v>5.4</v>
      </c>
      <c r="J105">
        <v>5</v>
      </c>
      <c r="K105" t="s">
        <v>24</v>
      </c>
      <c r="L105">
        <v>4</v>
      </c>
      <c r="M105">
        <v>8</v>
      </c>
      <c r="N105" t="str">
        <f t="shared" si="8"/>
        <v>Instagram</v>
      </c>
      <c r="O105">
        <f t="shared" si="9"/>
        <v>1</v>
      </c>
      <c r="P105" t="str">
        <f t="shared" si="10"/>
        <v>5.4</v>
      </c>
      <c r="Q105" t="str">
        <f t="shared" si="11"/>
        <v>OK</v>
      </c>
      <c r="R105" t="b">
        <f t="shared" si="14"/>
        <v>1</v>
      </c>
      <c r="S105" t="str">
        <f t="shared" si="12"/>
        <v>High</v>
      </c>
      <c r="T105" t="str">
        <f t="shared" si="13"/>
        <v>8</v>
      </c>
      <c r="U105">
        <v>6.4</v>
      </c>
      <c r="V105" t="b">
        <f t="shared" si="15"/>
        <v>1</v>
      </c>
    </row>
    <row r="106" spans="1:22" x14ac:dyDescent="0.25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2.9</v>
      </c>
      <c r="G106" t="s">
        <v>35</v>
      </c>
      <c r="H106" t="s">
        <v>23</v>
      </c>
      <c r="I106">
        <v>7</v>
      </c>
      <c r="J106">
        <v>7</v>
      </c>
      <c r="K106" t="s">
        <v>27</v>
      </c>
      <c r="L106">
        <v>2</v>
      </c>
      <c r="M106">
        <v>5</v>
      </c>
      <c r="N106" t="str">
        <f t="shared" si="8"/>
        <v>Linkedin</v>
      </c>
      <c r="O106">
        <f t="shared" si="9"/>
        <v>0</v>
      </c>
      <c r="P106" t="str">
        <f t="shared" si="10"/>
        <v>7</v>
      </c>
      <c r="Q106" t="str">
        <f t="shared" si="11"/>
        <v>OK</v>
      </c>
      <c r="R106" t="str">
        <f t="shared" si="14"/>
        <v>medium</v>
      </c>
      <c r="S106" t="str">
        <f t="shared" si="12"/>
        <v>Medium</v>
      </c>
      <c r="T106" t="str">
        <f t="shared" si="13"/>
        <v>5</v>
      </c>
      <c r="U106">
        <v>6.4</v>
      </c>
      <c r="V106" t="b">
        <f t="shared" si="15"/>
        <v>1</v>
      </c>
    </row>
    <row r="107" spans="1:22" x14ac:dyDescent="0.25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4.8</v>
      </c>
      <c r="G107" t="s">
        <v>26</v>
      </c>
      <c r="H107" t="s">
        <v>17</v>
      </c>
      <c r="I107">
        <v>5.7</v>
      </c>
      <c r="J107">
        <v>6</v>
      </c>
      <c r="K107" t="s">
        <v>18</v>
      </c>
      <c r="L107">
        <v>3</v>
      </c>
      <c r="M107">
        <v>7</v>
      </c>
      <c r="N107" t="str">
        <f t="shared" si="8"/>
        <v>Tiktok</v>
      </c>
      <c r="O107">
        <f t="shared" si="9"/>
        <v>2</v>
      </c>
      <c r="P107" t="str">
        <f t="shared" si="10"/>
        <v>5.7</v>
      </c>
      <c r="Q107" t="str">
        <f t="shared" si="11"/>
        <v>OK</v>
      </c>
      <c r="R107" t="b">
        <f t="shared" si="14"/>
        <v>1</v>
      </c>
      <c r="S107" t="str">
        <f t="shared" si="12"/>
        <v>High</v>
      </c>
      <c r="T107" t="str">
        <f t="shared" si="13"/>
        <v>7</v>
      </c>
      <c r="U107">
        <v>6.4</v>
      </c>
      <c r="V107" t="b">
        <f t="shared" si="15"/>
        <v>1</v>
      </c>
    </row>
    <row r="108" spans="1:22" x14ac:dyDescent="0.25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3.8</v>
      </c>
      <c r="G108" t="s">
        <v>30</v>
      </c>
      <c r="H108" t="s">
        <v>23</v>
      </c>
      <c r="I108">
        <v>6.6</v>
      </c>
      <c r="J108">
        <v>7</v>
      </c>
      <c r="K108" t="s">
        <v>24</v>
      </c>
      <c r="L108">
        <v>2</v>
      </c>
      <c r="M108">
        <v>6</v>
      </c>
      <c r="N108" t="str">
        <f t="shared" si="8"/>
        <v>Youtube</v>
      </c>
      <c r="O108">
        <f t="shared" si="9"/>
        <v>1</v>
      </c>
      <c r="P108" t="str">
        <f t="shared" si="10"/>
        <v>6.6</v>
      </c>
      <c r="Q108" t="str">
        <f t="shared" si="11"/>
        <v>OK</v>
      </c>
      <c r="R108" t="str">
        <f t="shared" si="14"/>
        <v>medium</v>
      </c>
      <c r="S108" t="str">
        <f t="shared" si="12"/>
        <v>Medium</v>
      </c>
      <c r="T108" t="str">
        <f t="shared" si="13"/>
        <v>6</v>
      </c>
      <c r="U108">
        <v>6.3</v>
      </c>
      <c r="V108" t="b">
        <f t="shared" si="15"/>
        <v>1</v>
      </c>
    </row>
    <row r="109" spans="1:22" x14ac:dyDescent="0.25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 t="s">
        <v>37</v>
      </c>
      <c r="H109" t="s">
        <v>17</v>
      </c>
      <c r="I109">
        <v>5.5</v>
      </c>
      <c r="J109">
        <v>5</v>
      </c>
      <c r="K109" t="s">
        <v>27</v>
      </c>
      <c r="L109">
        <v>4</v>
      </c>
      <c r="M109">
        <v>8</v>
      </c>
      <c r="N109" t="str">
        <f t="shared" si="8"/>
        <v>Snapchat</v>
      </c>
      <c r="O109">
        <f t="shared" si="9"/>
        <v>1</v>
      </c>
      <c r="P109" t="str">
        <f t="shared" si="10"/>
        <v>5.5</v>
      </c>
      <c r="Q109" t="str">
        <f t="shared" si="11"/>
        <v>OK</v>
      </c>
      <c r="R109" t="b">
        <f t="shared" si="14"/>
        <v>1</v>
      </c>
      <c r="S109" t="str">
        <f t="shared" si="12"/>
        <v>High</v>
      </c>
      <c r="T109" t="str">
        <f t="shared" si="13"/>
        <v>8</v>
      </c>
      <c r="U109">
        <v>6.3</v>
      </c>
      <c r="V109" t="b">
        <f t="shared" si="15"/>
        <v>1</v>
      </c>
    </row>
    <row r="110" spans="1:22" x14ac:dyDescent="0.25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2.6</v>
      </c>
      <c r="G110" t="s">
        <v>35</v>
      </c>
      <c r="H110" t="s">
        <v>23</v>
      </c>
      <c r="I110">
        <v>7.2</v>
      </c>
      <c r="J110">
        <v>8</v>
      </c>
      <c r="K110" t="s">
        <v>18</v>
      </c>
      <c r="L110">
        <v>1</v>
      </c>
      <c r="M110">
        <v>4</v>
      </c>
      <c r="N110" t="str">
        <f t="shared" si="8"/>
        <v>Linkedin</v>
      </c>
      <c r="O110">
        <f t="shared" si="9"/>
        <v>0</v>
      </c>
      <c r="P110" t="str">
        <f t="shared" si="10"/>
        <v>7.2</v>
      </c>
      <c r="Q110" t="str">
        <f t="shared" si="11"/>
        <v>OK</v>
      </c>
      <c r="R110" t="str">
        <f t="shared" si="14"/>
        <v>medium</v>
      </c>
      <c r="S110" t="str">
        <f t="shared" si="12"/>
        <v>Low</v>
      </c>
      <c r="T110" t="str">
        <f t="shared" si="13"/>
        <v>4</v>
      </c>
      <c r="U110">
        <v>6.3</v>
      </c>
      <c r="V110" t="b">
        <f t="shared" si="15"/>
        <v>1</v>
      </c>
    </row>
    <row r="111" spans="1:22" x14ac:dyDescent="0.25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4.9000000000000004</v>
      </c>
      <c r="G111" t="s">
        <v>16</v>
      </c>
      <c r="H111" t="s">
        <v>17</v>
      </c>
      <c r="I111">
        <v>5.8</v>
      </c>
      <c r="J111">
        <v>6</v>
      </c>
      <c r="K111" t="s">
        <v>24</v>
      </c>
      <c r="L111">
        <v>3</v>
      </c>
      <c r="M111">
        <v>7</v>
      </c>
      <c r="N111" t="str">
        <f t="shared" si="8"/>
        <v>Instagram</v>
      </c>
      <c r="O111">
        <f t="shared" si="9"/>
        <v>1</v>
      </c>
      <c r="P111" t="str">
        <f t="shared" si="10"/>
        <v>5.8</v>
      </c>
      <c r="Q111" t="str">
        <f t="shared" si="11"/>
        <v>OK</v>
      </c>
      <c r="R111" t="b">
        <f t="shared" si="14"/>
        <v>1</v>
      </c>
      <c r="S111" t="str">
        <f t="shared" si="12"/>
        <v>High</v>
      </c>
      <c r="T111" t="str">
        <f t="shared" si="13"/>
        <v>7</v>
      </c>
      <c r="U111">
        <v>6.3</v>
      </c>
      <c r="V111" t="b">
        <f t="shared" si="15"/>
        <v>1</v>
      </c>
    </row>
    <row r="112" spans="1:22" x14ac:dyDescent="0.25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6.1</v>
      </c>
      <c r="G112" t="s">
        <v>16</v>
      </c>
      <c r="H112" t="s">
        <v>17</v>
      </c>
      <c r="I112">
        <v>6.2</v>
      </c>
      <c r="J112">
        <v>5</v>
      </c>
      <c r="K112" t="s">
        <v>24</v>
      </c>
      <c r="L112">
        <v>4</v>
      </c>
      <c r="M112">
        <v>8</v>
      </c>
      <c r="N112" t="str">
        <f t="shared" si="8"/>
        <v>Instagram</v>
      </c>
      <c r="O112">
        <f t="shared" si="9"/>
        <v>1</v>
      </c>
      <c r="P112" t="str">
        <f t="shared" si="10"/>
        <v>6.2</v>
      </c>
      <c r="Q112" t="str">
        <f t="shared" si="11"/>
        <v>OK</v>
      </c>
      <c r="R112" t="b">
        <f t="shared" si="14"/>
        <v>1</v>
      </c>
      <c r="S112" t="str">
        <f t="shared" si="12"/>
        <v>High</v>
      </c>
      <c r="T112" t="str">
        <f t="shared" si="13"/>
        <v>8</v>
      </c>
      <c r="U112">
        <v>6.3</v>
      </c>
      <c r="V112" t="b">
        <f t="shared" si="15"/>
        <v>1</v>
      </c>
    </row>
    <row r="113" spans="1:22" x14ac:dyDescent="0.25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5.8</v>
      </c>
      <c r="G113" t="s">
        <v>26</v>
      </c>
      <c r="H113" t="s">
        <v>17</v>
      </c>
      <c r="I113">
        <v>5.9</v>
      </c>
      <c r="J113">
        <v>6</v>
      </c>
      <c r="K113" t="s">
        <v>18</v>
      </c>
      <c r="L113">
        <v>3</v>
      </c>
      <c r="M113">
        <v>7</v>
      </c>
      <c r="N113" t="str">
        <f t="shared" si="8"/>
        <v>Tiktok</v>
      </c>
      <c r="O113">
        <f t="shared" si="9"/>
        <v>2</v>
      </c>
      <c r="P113" t="str">
        <f t="shared" si="10"/>
        <v>5.9</v>
      </c>
      <c r="Q113" t="str">
        <f t="shared" si="11"/>
        <v>OK</v>
      </c>
      <c r="R113" t="b">
        <f t="shared" si="14"/>
        <v>1</v>
      </c>
      <c r="S113" t="str">
        <f t="shared" si="12"/>
        <v>High</v>
      </c>
      <c r="T113" t="str">
        <f t="shared" si="13"/>
        <v>7</v>
      </c>
      <c r="U113">
        <v>6.3</v>
      </c>
      <c r="V113" t="b">
        <f t="shared" si="15"/>
        <v>1</v>
      </c>
    </row>
    <row r="114" spans="1:22" x14ac:dyDescent="0.25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4.9000000000000004</v>
      </c>
      <c r="G114" t="s">
        <v>32</v>
      </c>
      <c r="H114" t="s">
        <v>23</v>
      </c>
      <c r="I114">
        <v>7.1</v>
      </c>
      <c r="J114">
        <v>7</v>
      </c>
      <c r="K114" t="s">
        <v>24</v>
      </c>
      <c r="L114">
        <v>2</v>
      </c>
      <c r="M114">
        <v>5</v>
      </c>
      <c r="N114" t="str">
        <f t="shared" si="8"/>
        <v>Facebook</v>
      </c>
      <c r="O114">
        <f t="shared" si="9"/>
        <v>0</v>
      </c>
      <c r="P114" t="str">
        <f t="shared" si="10"/>
        <v>7.1</v>
      </c>
      <c r="Q114" t="str">
        <f t="shared" si="11"/>
        <v>OK</v>
      </c>
      <c r="R114" t="str">
        <f t="shared" si="14"/>
        <v>medium</v>
      </c>
      <c r="S114" t="str">
        <f t="shared" si="12"/>
        <v>Medium</v>
      </c>
      <c r="T114" t="str">
        <f t="shared" si="13"/>
        <v>5</v>
      </c>
      <c r="U114">
        <v>6.3</v>
      </c>
      <c r="V114" t="b">
        <f t="shared" si="15"/>
        <v>1</v>
      </c>
    </row>
    <row r="115" spans="1:22" x14ac:dyDescent="0.25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5.5</v>
      </c>
      <c r="G115" t="s">
        <v>16</v>
      </c>
      <c r="H115" t="s">
        <v>17</v>
      </c>
      <c r="I115">
        <v>6</v>
      </c>
      <c r="J115">
        <v>5</v>
      </c>
      <c r="K115" t="s">
        <v>24</v>
      </c>
      <c r="L115">
        <v>4</v>
      </c>
      <c r="M115">
        <v>8</v>
      </c>
      <c r="N115" t="str">
        <f t="shared" si="8"/>
        <v>Instagram</v>
      </c>
      <c r="O115">
        <f t="shared" si="9"/>
        <v>1</v>
      </c>
      <c r="P115" t="str">
        <f t="shared" si="10"/>
        <v>6</v>
      </c>
      <c r="Q115" t="str">
        <f t="shared" si="11"/>
        <v>OK</v>
      </c>
      <c r="R115" t="b">
        <f t="shared" si="14"/>
        <v>1</v>
      </c>
      <c r="S115" t="str">
        <f t="shared" si="12"/>
        <v>High</v>
      </c>
      <c r="T115" t="str">
        <f t="shared" si="13"/>
        <v>8</v>
      </c>
      <c r="U115">
        <v>6.3</v>
      </c>
      <c r="V115" t="b">
        <f t="shared" si="15"/>
        <v>1</v>
      </c>
    </row>
    <row r="116" spans="1:22" x14ac:dyDescent="0.25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5.2</v>
      </c>
      <c r="G116" t="s">
        <v>26</v>
      </c>
      <c r="H116" t="s">
        <v>17</v>
      </c>
      <c r="I116">
        <v>6.3</v>
      </c>
      <c r="J116">
        <v>6</v>
      </c>
      <c r="K116" t="s">
        <v>18</v>
      </c>
      <c r="L116">
        <v>3</v>
      </c>
      <c r="M116">
        <v>7</v>
      </c>
      <c r="N116" t="str">
        <f t="shared" si="8"/>
        <v>Tiktok</v>
      </c>
      <c r="O116">
        <f t="shared" si="9"/>
        <v>2</v>
      </c>
      <c r="P116" t="str">
        <f t="shared" si="10"/>
        <v>6.3</v>
      </c>
      <c r="Q116" t="str">
        <f t="shared" si="11"/>
        <v>OK</v>
      </c>
      <c r="R116" t="b">
        <f t="shared" si="14"/>
        <v>1</v>
      </c>
      <c r="S116" t="str">
        <f t="shared" si="12"/>
        <v>High</v>
      </c>
      <c r="T116" t="str">
        <f t="shared" si="13"/>
        <v>7</v>
      </c>
      <c r="U116">
        <v>6.3</v>
      </c>
      <c r="V116" t="b">
        <f t="shared" si="15"/>
        <v>1</v>
      </c>
    </row>
    <row r="117" spans="1:22" x14ac:dyDescent="0.25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4.8</v>
      </c>
      <c r="G117" t="s">
        <v>16</v>
      </c>
      <c r="H117" t="s">
        <v>23</v>
      </c>
      <c r="I117">
        <v>7.2</v>
      </c>
      <c r="J117">
        <v>8</v>
      </c>
      <c r="K117" t="s">
        <v>24</v>
      </c>
      <c r="L117">
        <v>2</v>
      </c>
      <c r="M117">
        <v>5</v>
      </c>
      <c r="N117" t="str">
        <f t="shared" si="8"/>
        <v>Instagram</v>
      </c>
      <c r="O117">
        <f t="shared" si="9"/>
        <v>1</v>
      </c>
      <c r="P117" t="str">
        <f t="shared" si="10"/>
        <v>7.2</v>
      </c>
      <c r="Q117" t="str">
        <f t="shared" si="11"/>
        <v>OK</v>
      </c>
      <c r="R117" t="str">
        <f t="shared" si="14"/>
        <v>medium</v>
      </c>
      <c r="S117" t="str">
        <f t="shared" si="12"/>
        <v>Medium</v>
      </c>
      <c r="T117" t="str">
        <f t="shared" si="13"/>
        <v>5</v>
      </c>
      <c r="U117">
        <v>6.3</v>
      </c>
      <c r="V117" t="b">
        <f t="shared" si="15"/>
        <v>1</v>
      </c>
    </row>
    <row r="118" spans="1:22" x14ac:dyDescent="0.25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6</v>
      </c>
      <c r="G118" t="s">
        <v>32</v>
      </c>
      <c r="H118" t="s">
        <v>17</v>
      </c>
      <c r="I118">
        <v>5.8</v>
      </c>
      <c r="J118">
        <v>5</v>
      </c>
      <c r="K118" t="s">
        <v>18</v>
      </c>
      <c r="L118">
        <v>4</v>
      </c>
      <c r="M118">
        <v>8</v>
      </c>
      <c r="N118" t="str">
        <f t="shared" si="8"/>
        <v>Facebook</v>
      </c>
      <c r="O118">
        <f t="shared" si="9"/>
        <v>0</v>
      </c>
      <c r="P118" t="str">
        <f t="shared" si="10"/>
        <v>5.8</v>
      </c>
      <c r="Q118" t="str">
        <f t="shared" si="11"/>
        <v>OK</v>
      </c>
      <c r="R118" t="b">
        <f t="shared" si="14"/>
        <v>1</v>
      </c>
      <c r="S118" t="str">
        <f t="shared" si="12"/>
        <v>High</v>
      </c>
      <c r="T118" t="str">
        <f t="shared" si="13"/>
        <v>8</v>
      </c>
      <c r="U118">
        <v>6.3</v>
      </c>
      <c r="V118" t="b">
        <f t="shared" si="15"/>
        <v>1</v>
      </c>
    </row>
    <row r="119" spans="1:22" x14ac:dyDescent="0.25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5.7</v>
      </c>
      <c r="G119" t="s">
        <v>16</v>
      </c>
      <c r="H119" t="s">
        <v>17</v>
      </c>
      <c r="I119">
        <v>6.1</v>
      </c>
      <c r="J119">
        <v>6</v>
      </c>
      <c r="K119" t="s">
        <v>24</v>
      </c>
      <c r="L119">
        <v>3</v>
      </c>
      <c r="M119">
        <v>7</v>
      </c>
      <c r="N119" t="str">
        <f t="shared" si="8"/>
        <v>Instagram</v>
      </c>
      <c r="O119">
        <f t="shared" si="9"/>
        <v>1</v>
      </c>
      <c r="P119" t="str">
        <f t="shared" si="10"/>
        <v>6.1</v>
      </c>
      <c r="Q119" t="str">
        <f t="shared" si="11"/>
        <v>OK</v>
      </c>
      <c r="R119" t="b">
        <f t="shared" si="14"/>
        <v>1</v>
      </c>
      <c r="S119" t="str">
        <f t="shared" si="12"/>
        <v>High</v>
      </c>
      <c r="T119" t="str">
        <f t="shared" si="13"/>
        <v>7</v>
      </c>
      <c r="U119">
        <v>6.2</v>
      </c>
      <c r="V119" t="b">
        <f t="shared" si="15"/>
        <v>1</v>
      </c>
    </row>
    <row r="120" spans="1:22" x14ac:dyDescent="0.25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4.7</v>
      </c>
      <c r="G120" t="s">
        <v>26</v>
      </c>
      <c r="H120" t="s">
        <v>23</v>
      </c>
      <c r="I120">
        <v>7.3</v>
      </c>
      <c r="J120">
        <v>7</v>
      </c>
      <c r="K120" t="s">
        <v>24</v>
      </c>
      <c r="L120">
        <v>2</v>
      </c>
      <c r="M120">
        <v>5</v>
      </c>
      <c r="N120" t="str">
        <f t="shared" si="8"/>
        <v>Tiktok</v>
      </c>
      <c r="O120">
        <f t="shared" si="9"/>
        <v>2</v>
      </c>
      <c r="P120" t="str">
        <f t="shared" si="10"/>
        <v>7.3</v>
      </c>
      <c r="Q120" t="str">
        <f t="shared" si="11"/>
        <v>OK</v>
      </c>
      <c r="R120" t="str">
        <f t="shared" si="14"/>
        <v>medium</v>
      </c>
      <c r="S120" t="str">
        <f t="shared" si="12"/>
        <v>Medium</v>
      </c>
      <c r="T120" t="str">
        <f t="shared" si="13"/>
        <v>5</v>
      </c>
      <c r="U120">
        <v>6.2</v>
      </c>
      <c r="V120" t="b">
        <f t="shared" si="15"/>
        <v>1</v>
      </c>
    </row>
    <row r="121" spans="1:22" x14ac:dyDescent="0.25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5.4</v>
      </c>
      <c r="G121" t="s">
        <v>16</v>
      </c>
      <c r="H121" t="s">
        <v>17</v>
      </c>
      <c r="I121">
        <v>6.2</v>
      </c>
      <c r="J121">
        <v>5</v>
      </c>
      <c r="K121" t="s">
        <v>18</v>
      </c>
      <c r="L121">
        <v>4</v>
      </c>
      <c r="M121">
        <v>8</v>
      </c>
      <c r="N121" t="str">
        <f t="shared" si="8"/>
        <v>Instagram</v>
      </c>
      <c r="O121">
        <f t="shared" si="9"/>
        <v>1</v>
      </c>
      <c r="P121" t="str">
        <f t="shared" si="10"/>
        <v>6.2</v>
      </c>
      <c r="Q121" t="str">
        <f t="shared" si="11"/>
        <v>OK</v>
      </c>
      <c r="R121" t="b">
        <f t="shared" si="14"/>
        <v>1</v>
      </c>
      <c r="S121" t="str">
        <f t="shared" si="12"/>
        <v>High</v>
      </c>
      <c r="T121" t="str">
        <f t="shared" si="13"/>
        <v>8</v>
      </c>
      <c r="U121">
        <v>6.2</v>
      </c>
      <c r="V121" t="b">
        <f t="shared" si="15"/>
        <v>1</v>
      </c>
    </row>
    <row r="122" spans="1:22" x14ac:dyDescent="0.25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 t="s">
        <v>32</v>
      </c>
      <c r="H122" t="s">
        <v>17</v>
      </c>
      <c r="I122">
        <v>5.9</v>
      </c>
      <c r="J122">
        <v>6</v>
      </c>
      <c r="K122" t="s">
        <v>24</v>
      </c>
      <c r="L122">
        <v>3</v>
      </c>
      <c r="M122">
        <v>7</v>
      </c>
      <c r="N122" t="str">
        <f t="shared" si="8"/>
        <v>Facebook</v>
      </c>
      <c r="O122">
        <f t="shared" si="9"/>
        <v>0</v>
      </c>
      <c r="P122" t="str">
        <f t="shared" si="10"/>
        <v>5.9</v>
      </c>
      <c r="Q122" t="str">
        <f t="shared" si="11"/>
        <v>OK</v>
      </c>
      <c r="R122" t="b">
        <f t="shared" si="14"/>
        <v>1</v>
      </c>
      <c r="S122" t="str">
        <f t="shared" si="12"/>
        <v>High</v>
      </c>
      <c r="T122" t="str">
        <f t="shared" si="13"/>
        <v>7</v>
      </c>
      <c r="U122">
        <v>6.2</v>
      </c>
      <c r="V122" t="b">
        <f t="shared" si="15"/>
        <v>1</v>
      </c>
    </row>
    <row r="123" spans="1:22" x14ac:dyDescent="0.25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4.5999999999999996</v>
      </c>
      <c r="G123" t="s">
        <v>16</v>
      </c>
      <c r="H123" t="s">
        <v>23</v>
      </c>
      <c r="I123">
        <v>7.4</v>
      </c>
      <c r="J123">
        <v>8</v>
      </c>
      <c r="K123" t="s">
        <v>18</v>
      </c>
      <c r="L123">
        <v>2</v>
      </c>
      <c r="M123">
        <v>5</v>
      </c>
      <c r="N123" t="str">
        <f t="shared" si="8"/>
        <v>Instagram</v>
      </c>
      <c r="O123">
        <f t="shared" si="9"/>
        <v>1</v>
      </c>
      <c r="P123" t="str">
        <f t="shared" si="10"/>
        <v>7.4</v>
      </c>
      <c r="Q123" t="str">
        <f t="shared" si="11"/>
        <v>OK</v>
      </c>
      <c r="R123" t="str">
        <f t="shared" si="14"/>
        <v>medium</v>
      </c>
      <c r="S123" t="str">
        <f t="shared" si="12"/>
        <v>Medium</v>
      </c>
      <c r="T123" t="str">
        <f t="shared" si="13"/>
        <v>5</v>
      </c>
      <c r="U123">
        <v>6.2</v>
      </c>
      <c r="V123" t="b">
        <f t="shared" si="15"/>
        <v>1</v>
      </c>
    </row>
    <row r="124" spans="1:22" x14ac:dyDescent="0.25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5.3</v>
      </c>
      <c r="G124" t="s">
        <v>26</v>
      </c>
      <c r="H124" t="s">
        <v>17</v>
      </c>
      <c r="I124">
        <v>6.3</v>
      </c>
      <c r="J124">
        <v>5</v>
      </c>
      <c r="K124" t="s">
        <v>24</v>
      </c>
      <c r="L124">
        <v>4</v>
      </c>
      <c r="M124">
        <v>8</v>
      </c>
      <c r="N124" t="str">
        <f t="shared" si="8"/>
        <v>Tiktok</v>
      </c>
      <c r="O124">
        <f t="shared" si="9"/>
        <v>2</v>
      </c>
      <c r="P124" t="str">
        <f t="shared" si="10"/>
        <v>6.3</v>
      </c>
      <c r="Q124" t="str">
        <f t="shared" si="11"/>
        <v>OK</v>
      </c>
      <c r="R124" t="b">
        <f t="shared" si="14"/>
        <v>1</v>
      </c>
      <c r="S124" t="str">
        <f t="shared" si="12"/>
        <v>High</v>
      </c>
      <c r="T124" t="str">
        <f t="shared" si="13"/>
        <v>8</v>
      </c>
      <c r="U124">
        <v>6.2</v>
      </c>
      <c r="V124" t="b">
        <f t="shared" si="15"/>
        <v>1</v>
      </c>
    </row>
    <row r="125" spans="1:22" x14ac:dyDescent="0.25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 t="s">
        <v>16</v>
      </c>
      <c r="H125" t="s">
        <v>17</v>
      </c>
      <c r="I125">
        <v>5.8</v>
      </c>
      <c r="J125">
        <v>6</v>
      </c>
      <c r="K125" t="s">
        <v>18</v>
      </c>
      <c r="L125">
        <v>3</v>
      </c>
      <c r="M125">
        <v>7</v>
      </c>
      <c r="N125" t="str">
        <f t="shared" si="8"/>
        <v>Instagram</v>
      </c>
      <c r="O125">
        <f t="shared" si="9"/>
        <v>1</v>
      </c>
      <c r="P125" t="str">
        <f t="shared" si="10"/>
        <v>5.8</v>
      </c>
      <c r="Q125" t="str">
        <f t="shared" si="11"/>
        <v>OK</v>
      </c>
      <c r="R125" t="b">
        <f t="shared" si="14"/>
        <v>1</v>
      </c>
      <c r="S125" t="str">
        <f t="shared" si="12"/>
        <v>High</v>
      </c>
      <c r="T125" t="str">
        <f t="shared" si="13"/>
        <v>7</v>
      </c>
      <c r="U125">
        <v>6.2</v>
      </c>
      <c r="V125" t="b">
        <f t="shared" si="15"/>
        <v>1</v>
      </c>
    </row>
    <row r="126" spans="1:22" x14ac:dyDescent="0.25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4.5</v>
      </c>
      <c r="G126" t="s">
        <v>32</v>
      </c>
      <c r="H126" t="s">
        <v>23</v>
      </c>
      <c r="I126">
        <v>7.5</v>
      </c>
      <c r="J126">
        <v>7</v>
      </c>
      <c r="K126" t="s">
        <v>24</v>
      </c>
      <c r="L126">
        <v>2</v>
      </c>
      <c r="M126">
        <v>5</v>
      </c>
      <c r="N126" t="str">
        <f t="shared" si="8"/>
        <v>Facebook</v>
      </c>
      <c r="O126">
        <f t="shared" si="9"/>
        <v>0</v>
      </c>
      <c r="P126" t="str">
        <f t="shared" si="10"/>
        <v>7.5</v>
      </c>
      <c r="Q126" t="str">
        <f t="shared" si="11"/>
        <v>OK</v>
      </c>
      <c r="R126" t="str">
        <f t="shared" si="14"/>
        <v>medium</v>
      </c>
      <c r="S126" t="str">
        <f t="shared" si="12"/>
        <v>Medium</v>
      </c>
      <c r="T126" t="str">
        <f t="shared" si="13"/>
        <v>5</v>
      </c>
      <c r="U126">
        <v>6.2</v>
      </c>
      <c r="V126" t="b">
        <f t="shared" si="15"/>
        <v>1</v>
      </c>
    </row>
    <row r="127" spans="1:22" x14ac:dyDescent="0.25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5.2</v>
      </c>
      <c r="G127" t="s">
        <v>16</v>
      </c>
      <c r="H127" t="s">
        <v>17</v>
      </c>
      <c r="I127">
        <v>6.4</v>
      </c>
      <c r="J127">
        <v>5</v>
      </c>
      <c r="K127" t="s">
        <v>18</v>
      </c>
      <c r="L127">
        <v>4</v>
      </c>
      <c r="M127">
        <v>8</v>
      </c>
      <c r="N127" t="str">
        <f t="shared" si="8"/>
        <v>Instagram</v>
      </c>
      <c r="O127">
        <f t="shared" si="9"/>
        <v>1</v>
      </c>
      <c r="P127" t="str">
        <f t="shared" si="10"/>
        <v>6.4</v>
      </c>
      <c r="Q127" t="str">
        <f t="shared" si="11"/>
        <v>OK</v>
      </c>
      <c r="R127" t="b">
        <f t="shared" si="14"/>
        <v>1</v>
      </c>
      <c r="S127" t="str">
        <f t="shared" si="12"/>
        <v>High</v>
      </c>
      <c r="T127" t="str">
        <f t="shared" si="13"/>
        <v>8</v>
      </c>
      <c r="U127">
        <v>6.2</v>
      </c>
      <c r="V127" t="b">
        <f t="shared" si="15"/>
        <v>1</v>
      </c>
    </row>
    <row r="128" spans="1:22" x14ac:dyDescent="0.25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 t="s">
        <v>26</v>
      </c>
      <c r="H128" t="s">
        <v>17</v>
      </c>
      <c r="I128">
        <v>5.7</v>
      </c>
      <c r="J128">
        <v>6</v>
      </c>
      <c r="K128" t="s">
        <v>24</v>
      </c>
      <c r="L128">
        <v>3</v>
      </c>
      <c r="M128">
        <v>7</v>
      </c>
      <c r="N128" t="str">
        <f t="shared" si="8"/>
        <v>Tiktok</v>
      </c>
      <c r="O128">
        <f t="shared" si="9"/>
        <v>2</v>
      </c>
      <c r="P128" t="str">
        <f t="shared" si="10"/>
        <v>5.7</v>
      </c>
      <c r="Q128" t="str">
        <f t="shared" si="11"/>
        <v>OK</v>
      </c>
      <c r="R128" t="b">
        <f t="shared" si="14"/>
        <v>1</v>
      </c>
      <c r="S128" t="str">
        <f t="shared" si="12"/>
        <v>High</v>
      </c>
      <c r="T128" t="str">
        <f t="shared" si="13"/>
        <v>7</v>
      </c>
      <c r="U128">
        <v>6.2</v>
      </c>
      <c r="V128" t="b">
        <f t="shared" si="15"/>
        <v>1</v>
      </c>
    </row>
    <row r="129" spans="1:22" x14ac:dyDescent="0.25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4.4000000000000004</v>
      </c>
      <c r="G129" t="s">
        <v>16</v>
      </c>
      <c r="H129" t="s">
        <v>23</v>
      </c>
      <c r="I129">
        <v>7.6</v>
      </c>
      <c r="J129">
        <v>8</v>
      </c>
      <c r="K129" t="s">
        <v>18</v>
      </c>
      <c r="L129">
        <v>2</v>
      </c>
      <c r="M129">
        <v>5</v>
      </c>
      <c r="N129" t="str">
        <f t="shared" si="8"/>
        <v>Instagram</v>
      </c>
      <c r="O129">
        <f t="shared" si="9"/>
        <v>1</v>
      </c>
      <c r="P129" t="str">
        <f t="shared" si="10"/>
        <v>7.6</v>
      </c>
      <c r="Q129" t="str">
        <f t="shared" si="11"/>
        <v>OK</v>
      </c>
      <c r="R129" t="str">
        <f t="shared" si="14"/>
        <v>medium</v>
      </c>
      <c r="S129" t="str">
        <f t="shared" si="12"/>
        <v>Medium</v>
      </c>
      <c r="T129" t="str">
        <f t="shared" si="13"/>
        <v>5</v>
      </c>
      <c r="U129">
        <v>6.2</v>
      </c>
      <c r="V129" t="b">
        <f t="shared" si="15"/>
        <v>1</v>
      </c>
    </row>
    <row r="130" spans="1:22" x14ac:dyDescent="0.25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5.0999999999999996</v>
      </c>
      <c r="G130" t="s">
        <v>32</v>
      </c>
      <c r="H130" t="s">
        <v>17</v>
      </c>
      <c r="I130">
        <v>6.5</v>
      </c>
      <c r="J130">
        <v>5</v>
      </c>
      <c r="K130" t="s">
        <v>24</v>
      </c>
      <c r="L130">
        <v>4</v>
      </c>
      <c r="M130">
        <v>8</v>
      </c>
      <c r="N130" t="str">
        <f t="shared" ref="N130:N193" si="16">PROPER(G130)</f>
        <v>Facebook</v>
      </c>
      <c r="O130">
        <f t="shared" ref="O130:O193" si="17">LEN(G130)-LEN(SUBSTITUTE(UPPER(G130),"T",""))</f>
        <v>0</v>
      </c>
      <c r="P130" t="str">
        <f t="shared" ref="P130:P193" si="18">PROPER(I130)</f>
        <v>6.5</v>
      </c>
      <c r="Q130" t="str">
        <f t="shared" ref="Q130:Q193" si="19">(IF(I130&gt;=5,"OK",IF(I130&lt;5,"LESS SLEEP")))</f>
        <v>OK</v>
      </c>
      <c r="R130" t="b">
        <f t="shared" si="14"/>
        <v>1</v>
      </c>
      <c r="S130" t="str">
        <f t="shared" ref="S130:S193" si="20">IF(M130&gt;=7,"High",IF(AND(M130&gt;4,M130&lt;7),"Medium","Low"))</f>
        <v>High</v>
      </c>
      <c r="T130" t="str">
        <f t="shared" ref="T130:T193" si="21">PROPER(M130)</f>
        <v>8</v>
      </c>
      <c r="U130">
        <v>6.2</v>
      </c>
      <c r="V130" t="b">
        <f t="shared" si="15"/>
        <v>1</v>
      </c>
    </row>
    <row r="131" spans="1:22" x14ac:dyDescent="0.25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 t="s">
        <v>16</v>
      </c>
      <c r="H131" t="s">
        <v>17</v>
      </c>
      <c r="I131">
        <v>5.6</v>
      </c>
      <c r="J131">
        <v>6</v>
      </c>
      <c r="K131" t="s">
        <v>18</v>
      </c>
      <c r="L131">
        <v>3</v>
      </c>
      <c r="M131">
        <v>7</v>
      </c>
      <c r="N131" t="str">
        <f t="shared" si="16"/>
        <v>Instagram</v>
      </c>
      <c r="O131">
        <f t="shared" si="17"/>
        <v>1</v>
      </c>
      <c r="P131" t="str">
        <f t="shared" si="18"/>
        <v>5.6</v>
      </c>
      <c r="Q131" t="str">
        <f t="shared" si="19"/>
        <v>OK</v>
      </c>
      <c r="R131" t="b">
        <f t="shared" si="14"/>
        <v>1</v>
      </c>
      <c r="S131" t="str">
        <f t="shared" si="20"/>
        <v>High</v>
      </c>
      <c r="T131" t="str">
        <f t="shared" si="21"/>
        <v>7</v>
      </c>
      <c r="U131">
        <v>6.2</v>
      </c>
      <c r="V131" t="b">
        <f t="shared" si="15"/>
        <v>1</v>
      </c>
    </row>
    <row r="132" spans="1:22" x14ac:dyDescent="0.25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4.3</v>
      </c>
      <c r="G132" t="s">
        <v>26</v>
      </c>
      <c r="H132" t="s">
        <v>23</v>
      </c>
      <c r="I132">
        <v>7.7</v>
      </c>
      <c r="J132">
        <v>7</v>
      </c>
      <c r="K132" t="s">
        <v>24</v>
      </c>
      <c r="L132">
        <v>2</v>
      </c>
      <c r="M132">
        <v>5</v>
      </c>
      <c r="N132" t="str">
        <f t="shared" si="16"/>
        <v>Tiktok</v>
      </c>
      <c r="O132">
        <f t="shared" si="17"/>
        <v>2</v>
      </c>
      <c r="P132" t="str">
        <f t="shared" si="18"/>
        <v>7.7</v>
      </c>
      <c r="Q132" t="str">
        <f t="shared" si="19"/>
        <v>OK</v>
      </c>
      <c r="R132" t="str">
        <f t="shared" ref="R132:R195" si="22">IF(M132&gt;=7,"High"&amp;M132&gt;=4,"medium")</f>
        <v>medium</v>
      </c>
      <c r="S132" t="str">
        <f t="shared" si="20"/>
        <v>Medium</v>
      </c>
      <c r="T132" t="str">
        <f t="shared" si="21"/>
        <v>5</v>
      </c>
      <c r="U132">
        <v>6.1</v>
      </c>
      <c r="V132" t="b">
        <f t="shared" ref="V132:V195" si="23">IF(Q132&gt;=7,"High"&amp;Q132&gt;=4,"medium")</f>
        <v>1</v>
      </c>
    </row>
    <row r="133" spans="1:22" x14ac:dyDescent="0.25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5</v>
      </c>
      <c r="G133" t="s">
        <v>16</v>
      </c>
      <c r="H133" t="s">
        <v>17</v>
      </c>
      <c r="I133">
        <v>6.6</v>
      </c>
      <c r="J133">
        <v>5</v>
      </c>
      <c r="K133" t="s">
        <v>18</v>
      </c>
      <c r="L133">
        <v>4</v>
      </c>
      <c r="M133">
        <v>8</v>
      </c>
      <c r="N133" t="str">
        <f t="shared" si="16"/>
        <v>Instagram</v>
      </c>
      <c r="O133">
        <f t="shared" si="17"/>
        <v>1</v>
      </c>
      <c r="P133" t="str">
        <f t="shared" si="18"/>
        <v>6.6</v>
      </c>
      <c r="Q133" t="str">
        <f t="shared" si="19"/>
        <v>OK</v>
      </c>
      <c r="R133" t="b">
        <f t="shared" si="22"/>
        <v>1</v>
      </c>
      <c r="S133" t="str">
        <f t="shared" si="20"/>
        <v>High</v>
      </c>
      <c r="T133" t="str">
        <f t="shared" si="21"/>
        <v>8</v>
      </c>
      <c r="U133">
        <v>6.1</v>
      </c>
      <c r="V133" t="b">
        <f t="shared" si="23"/>
        <v>1</v>
      </c>
    </row>
    <row r="134" spans="1:22" x14ac:dyDescent="0.25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 t="s">
        <v>32</v>
      </c>
      <c r="H134" t="s">
        <v>17</v>
      </c>
      <c r="I134">
        <v>5.5</v>
      </c>
      <c r="J134">
        <v>6</v>
      </c>
      <c r="K134" t="s">
        <v>24</v>
      </c>
      <c r="L134">
        <v>3</v>
      </c>
      <c r="M134">
        <v>7</v>
      </c>
      <c r="N134" t="str">
        <f t="shared" si="16"/>
        <v>Facebook</v>
      </c>
      <c r="O134">
        <f t="shared" si="17"/>
        <v>0</v>
      </c>
      <c r="P134" t="str">
        <f t="shared" si="18"/>
        <v>5.5</v>
      </c>
      <c r="Q134" t="str">
        <f t="shared" si="19"/>
        <v>OK</v>
      </c>
      <c r="R134" t="b">
        <f t="shared" si="22"/>
        <v>1</v>
      </c>
      <c r="S134" t="str">
        <f t="shared" si="20"/>
        <v>High</v>
      </c>
      <c r="T134" t="str">
        <f t="shared" si="21"/>
        <v>7</v>
      </c>
      <c r="U134">
        <v>6.1</v>
      </c>
      <c r="V134" t="b">
        <f t="shared" si="23"/>
        <v>1</v>
      </c>
    </row>
    <row r="135" spans="1:22" x14ac:dyDescent="0.25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4.2</v>
      </c>
      <c r="G135" t="s">
        <v>16</v>
      </c>
      <c r="H135" t="s">
        <v>23</v>
      </c>
      <c r="I135">
        <v>7.8</v>
      </c>
      <c r="J135">
        <v>8</v>
      </c>
      <c r="K135" t="s">
        <v>18</v>
      </c>
      <c r="L135">
        <v>2</v>
      </c>
      <c r="M135">
        <v>5</v>
      </c>
      <c r="N135" t="str">
        <f t="shared" si="16"/>
        <v>Instagram</v>
      </c>
      <c r="O135">
        <f t="shared" si="17"/>
        <v>1</v>
      </c>
      <c r="P135" t="str">
        <f t="shared" si="18"/>
        <v>7.8</v>
      </c>
      <c r="Q135" t="str">
        <f t="shared" si="19"/>
        <v>OK</v>
      </c>
      <c r="R135" t="str">
        <f t="shared" si="22"/>
        <v>medium</v>
      </c>
      <c r="S135" t="str">
        <f t="shared" si="20"/>
        <v>Medium</v>
      </c>
      <c r="T135" t="str">
        <f t="shared" si="21"/>
        <v>5</v>
      </c>
      <c r="U135">
        <v>6.1</v>
      </c>
      <c r="V135" t="b">
        <f t="shared" si="23"/>
        <v>1</v>
      </c>
    </row>
    <row r="136" spans="1:22" x14ac:dyDescent="0.25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4.9000000000000004</v>
      </c>
      <c r="G136" t="s">
        <v>26</v>
      </c>
      <c r="H136" t="s">
        <v>17</v>
      </c>
      <c r="I136">
        <v>6.7</v>
      </c>
      <c r="J136">
        <v>5</v>
      </c>
      <c r="K136" t="s">
        <v>24</v>
      </c>
      <c r="L136">
        <v>4</v>
      </c>
      <c r="M136">
        <v>8</v>
      </c>
      <c r="N136" t="str">
        <f t="shared" si="16"/>
        <v>Tiktok</v>
      </c>
      <c r="O136">
        <f t="shared" si="17"/>
        <v>2</v>
      </c>
      <c r="P136" t="str">
        <f t="shared" si="18"/>
        <v>6.7</v>
      </c>
      <c r="Q136" t="str">
        <f t="shared" si="19"/>
        <v>OK</v>
      </c>
      <c r="R136" t="b">
        <f t="shared" si="22"/>
        <v>1</v>
      </c>
      <c r="S136" t="str">
        <f t="shared" si="20"/>
        <v>High</v>
      </c>
      <c r="T136" t="str">
        <f t="shared" si="21"/>
        <v>8</v>
      </c>
      <c r="U136">
        <v>6.1</v>
      </c>
      <c r="V136" t="b">
        <f t="shared" si="23"/>
        <v>1</v>
      </c>
    </row>
    <row r="137" spans="1:22" x14ac:dyDescent="0.25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 t="s">
        <v>16</v>
      </c>
      <c r="H137" t="s">
        <v>17</v>
      </c>
      <c r="I137">
        <v>5.4</v>
      </c>
      <c r="J137">
        <v>6</v>
      </c>
      <c r="K137" t="s">
        <v>18</v>
      </c>
      <c r="L137">
        <v>3</v>
      </c>
      <c r="M137">
        <v>7</v>
      </c>
      <c r="N137" t="str">
        <f t="shared" si="16"/>
        <v>Instagram</v>
      </c>
      <c r="O137">
        <f t="shared" si="17"/>
        <v>1</v>
      </c>
      <c r="P137" t="str">
        <f t="shared" si="18"/>
        <v>5.4</v>
      </c>
      <c r="Q137" t="str">
        <f t="shared" si="19"/>
        <v>OK</v>
      </c>
      <c r="R137" t="b">
        <f t="shared" si="22"/>
        <v>1</v>
      </c>
      <c r="S137" t="str">
        <f t="shared" si="20"/>
        <v>High</v>
      </c>
      <c r="T137" t="str">
        <f t="shared" si="21"/>
        <v>7</v>
      </c>
      <c r="U137">
        <v>6.1</v>
      </c>
      <c r="V137" t="b">
        <f t="shared" si="23"/>
        <v>1</v>
      </c>
    </row>
    <row r="138" spans="1:22" x14ac:dyDescent="0.25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4.0999999999999996</v>
      </c>
      <c r="G138" t="s">
        <v>32</v>
      </c>
      <c r="H138" t="s">
        <v>23</v>
      </c>
      <c r="I138">
        <v>7.9</v>
      </c>
      <c r="J138">
        <v>7</v>
      </c>
      <c r="K138" t="s">
        <v>24</v>
      </c>
      <c r="L138">
        <v>2</v>
      </c>
      <c r="M138">
        <v>5</v>
      </c>
      <c r="N138" t="str">
        <f t="shared" si="16"/>
        <v>Facebook</v>
      </c>
      <c r="O138">
        <f t="shared" si="17"/>
        <v>0</v>
      </c>
      <c r="P138" t="str">
        <f t="shared" si="18"/>
        <v>7.9</v>
      </c>
      <c r="Q138" t="str">
        <f t="shared" si="19"/>
        <v>OK</v>
      </c>
      <c r="R138" t="str">
        <f t="shared" si="22"/>
        <v>medium</v>
      </c>
      <c r="S138" t="str">
        <f t="shared" si="20"/>
        <v>Medium</v>
      </c>
      <c r="T138" t="str">
        <f t="shared" si="21"/>
        <v>5</v>
      </c>
      <c r="U138">
        <v>6.1</v>
      </c>
      <c r="V138" t="b">
        <f t="shared" si="23"/>
        <v>1</v>
      </c>
    </row>
    <row r="139" spans="1:22" x14ac:dyDescent="0.25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4.8</v>
      </c>
      <c r="G139" t="s">
        <v>16</v>
      </c>
      <c r="H139" t="s">
        <v>17</v>
      </c>
      <c r="I139">
        <v>6.8</v>
      </c>
      <c r="J139">
        <v>5</v>
      </c>
      <c r="K139" t="s">
        <v>18</v>
      </c>
      <c r="L139">
        <v>4</v>
      </c>
      <c r="M139">
        <v>8</v>
      </c>
      <c r="N139" t="str">
        <f t="shared" si="16"/>
        <v>Instagram</v>
      </c>
      <c r="O139">
        <f t="shared" si="17"/>
        <v>1</v>
      </c>
      <c r="P139" t="str">
        <f t="shared" si="18"/>
        <v>6.8</v>
      </c>
      <c r="Q139" t="str">
        <f t="shared" si="19"/>
        <v>OK</v>
      </c>
      <c r="R139" t="b">
        <f t="shared" si="22"/>
        <v>1</v>
      </c>
      <c r="S139" t="str">
        <f t="shared" si="20"/>
        <v>High</v>
      </c>
      <c r="T139" t="str">
        <f t="shared" si="21"/>
        <v>8</v>
      </c>
      <c r="U139">
        <v>6.1</v>
      </c>
      <c r="V139" t="b">
        <f t="shared" si="23"/>
        <v>1</v>
      </c>
    </row>
    <row r="140" spans="1:22" x14ac:dyDescent="0.25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 t="s">
        <v>26</v>
      </c>
      <c r="H140" t="s">
        <v>17</v>
      </c>
      <c r="I140">
        <v>5.3</v>
      </c>
      <c r="J140">
        <v>6</v>
      </c>
      <c r="K140" t="s">
        <v>24</v>
      </c>
      <c r="L140">
        <v>3</v>
      </c>
      <c r="M140">
        <v>7</v>
      </c>
      <c r="N140" t="str">
        <f t="shared" si="16"/>
        <v>Tiktok</v>
      </c>
      <c r="O140">
        <f t="shared" si="17"/>
        <v>2</v>
      </c>
      <c r="P140" t="str">
        <f t="shared" si="18"/>
        <v>5.3</v>
      </c>
      <c r="Q140" t="str">
        <f t="shared" si="19"/>
        <v>OK</v>
      </c>
      <c r="R140" t="b">
        <f t="shared" si="22"/>
        <v>1</v>
      </c>
      <c r="S140" t="str">
        <f t="shared" si="20"/>
        <v>High</v>
      </c>
      <c r="T140" t="str">
        <f t="shared" si="21"/>
        <v>7</v>
      </c>
      <c r="U140">
        <v>6.1</v>
      </c>
      <c r="V140" t="b">
        <f t="shared" si="23"/>
        <v>1</v>
      </c>
    </row>
    <row r="141" spans="1:22" x14ac:dyDescent="0.25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4</v>
      </c>
      <c r="G141" t="s">
        <v>16</v>
      </c>
      <c r="H141" t="s">
        <v>23</v>
      </c>
      <c r="I141">
        <v>8</v>
      </c>
      <c r="J141">
        <v>8</v>
      </c>
      <c r="K141" t="s">
        <v>18</v>
      </c>
      <c r="L141">
        <v>2</v>
      </c>
      <c r="M141">
        <v>5</v>
      </c>
      <c r="N141" t="str">
        <f t="shared" si="16"/>
        <v>Instagram</v>
      </c>
      <c r="O141">
        <f t="shared" si="17"/>
        <v>1</v>
      </c>
      <c r="P141" t="str">
        <f t="shared" si="18"/>
        <v>8</v>
      </c>
      <c r="Q141" t="str">
        <f t="shared" si="19"/>
        <v>OK</v>
      </c>
      <c r="R141" t="str">
        <f t="shared" si="22"/>
        <v>medium</v>
      </c>
      <c r="S141" t="str">
        <f t="shared" si="20"/>
        <v>Medium</v>
      </c>
      <c r="T141" t="str">
        <f t="shared" si="21"/>
        <v>5</v>
      </c>
      <c r="U141">
        <v>6.1</v>
      </c>
      <c r="V141" t="b">
        <f t="shared" si="23"/>
        <v>1</v>
      </c>
    </row>
    <row r="142" spans="1:22" x14ac:dyDescent="0.25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4.7</v>
      </c>
      <c r="G142" t="s">
        <v>32</v>
      </c>
      <c r="H142" t="s">
        <v>17</v>
      </c>
      <c r="I142">
        <v>6.9</v>
      </c>
      <c r="J142">
        <v>5</v>
      </c>
      <c r="K142" t="s">
        <v>24</v>
      </c>
      <c r="L142">
        <v>4</v>
      </c>
      <c r="M142">
        <v>8</v>
      </c>
      <c r="N142" t="str">
        <f t="shared" si="16"/>
        <v>Facebook</v>
      </c>
      <c r="O142">
        <f t="shared" si="17"/>
        <v>0</v>
      </c>
      <c r="P142" t="str">
        <f t="shared" si="18"/>
        <v>6.9</v>
      </c>
      <c r="Q142" t="str">
        <f t="shared" si="19"/>
        <v>OK</v>
      </c>
      <c r="R142" t="b">
        <f t="shared" si="22"/>
        <v>1</v>
      </c>
      <c r="S142" t="str">
        <f t="shared" si="20"/>
        <v>High</v>
      </c>
      <c r="T142" t="str">
        <f t="shared" si="21"/>
        <v>8</v>
      </c>
      <c r="U142">
        <v>6.1</v>
      </c>
      <c r="V142" t="b">
        <f t="shared" si="23"/>
        <v>1</v>
      </c>
    </row>
    <row r="143" spans="1:22" x14ac:dyDescent="0.25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 t="s">
        <v>16</v>
      </c>
      <c r="H143" t="s">
        <v>17</v>
      </c>
      <c r="I143">
        <v>5.2</v>
      </c>
      <c r="J143">
        <v>6</v>
      </c>
      <c r="K143" t="s">
        <v>18</v>
      </c>
      <c r="L143">
        <v>3</v>
      </c>
      <c r="M143">
        <v>7</v>
      </c>
      <c r="N143" t="str">
        <f t="shared" si="16"/>
        <v>Instagram</v>
      </c>
      <c r="O143">
        <f t="shared" si="17"/>
        <v>1</v>
      </c>
      <c r="P143" t="str">
        <f t="shared" si="18"/>
        <v>5.2</v>
      </c>
      <c r="Q143" t="str">
        <f t="shared" si="19"/>
        <v>OK</v>
      </c>
      <c r="R143" t="b">
        <f t="shared" si="22"/>
        <v>1</v>
      </c>
      <c r="S143" t="str">
        <f t="shared" si="20"/>
        <v>High</v>
      </c>
      <c r="T143" t="str">
        <f t="shared" si="21"/>
        <v>7</v>
      </c>
      <c r="U143">
        <v>6.1</v>
      </c>
      <c r="V143" t="b">
        <f t="shared" si="23"/>
        <v>1</v>
      </c>
    </row>
    <row r="144" spans="1:22" x14ac:dyDescent="0.25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3.9</v>
      </c>
      <c r="G144" t="s">
        <v>26</v>
      </c>
      <c r="H144" t="s">
        <v>23</v>
      </c>
      <c r="I144">
        <v>8.1</v>
      </c>
      <c r="J144">
        <v>7</v>
      </c>
      <c r="K144" t="s">
        <v>24</v>
      </c>
      <c r="L144">
        <v>2</v>
      </c>
      <c r="M144">
        <v>5</v>
      </c>
      <c r="N144" t="str">
        <f t="shared" si="16"/>
        <v>Tiktok</v>
      </c>
      <c r="O144">
        <f t="shared" si="17"/>
        <v>2</v>
      </c>
      <c r="P144" t="str">
        <f t="shared" si="18"/>
        <v>8.1</v>
      </c>
      <c r="Q144" t="str">
        <f t="shared" si="19"/>
        <v>OK</v>
      </c>
      <c r="R144" t="str">
        <f t="shared" si="22"/>
        <v>medium</v>
      </c>
      <c r="S144" t="str">
        <f t="shared" si="20"/>
        <v>Medium</v>
      </c>
      <c r="T144" t="str">
        <f t="shared" si="21"/>
        <v>5</v>
      </c>
      <c r="U144">
        <v>6.1</v>
      </c>
      <c r="V144" t="b">
        <f t="shared" si="23"/>
        <v>1</v>
      </c>
    </row>
    <row r="145" spans="1:22" x14ac:dyDescent="0.25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4.5999999999999996</v>
      </c>
      <c r="G145" t="s">
        <v>16</v>
      </c>
      <c r="H145" t="s">
        <v>17</v>
      </c>
      <c r="I145">
        <v>7</v>
      </c>
      <c r="J145">
        <v>5</v>
      </c>
      <c r="K145" t="s">
        <v>18</v>
      </c>
      <c r="L145">
        <v>4</v>
      </c>
      <c r="M145">
        <v>8</v>
      </c>
      <c r="N145" t="str">
        <f t="shared" si="16"/>
        <v>Instagram</v>
      </c>
      <c r="O145">
        <f t="shared" si="17"/>
        <v>1</v>
      </c>
      <c r="P145" t="str">
        <f t="shared" si="18"/>
        <v>7</v>
      </c>
      <c r="Q145" t="str">
        <f t="shared" si="19"/>
        <v>OK</v>
      </c>
      <c r="R145" t="b">
        <f t="shared" si="22"/>
        <v>1</v>
      </c>
      <c r="S145" t="str">
        <f t="shared" si="20"/>
        <v>High</v>
      </c>
      <c r="T145" t="str">
        <f t="shared" si="21"/>
        <v>8</v>
      </c>
      <c r="U145">
        <v>6</v>
      </c>
      <c r="V145" t="b">
        <f t="shared" si="23"/>
        <v>1</v>
      </c>
    </row>
    <row r="146" spans="1:22" x14ac:dyDescent="0.25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5.0999999999999996</v>
      </c>
      <c r="G146" t="s">
        <v>32</v>
      </c>
      <c r="H146" t="s">
        <v>17</v>
      </c>
      <c r="I146">
        <v>5.0999999999999996</v>
      </c>
      <c r="J146">
        <v>6</v>
      </c>
      <c r="K146" t="s">
        <v>24</v>
      </c>
      <c r="L146">
        <v>3</v>
      </c>
      <c r="M146">
        <v>7</v>
      </c>
      <c r="N146" t="str">
        <f t="shared" si="16"/>
        <v>Facebook</v>
      </c>
      <c r="O146">
        <f t="shared" si="17"/>
        <v>0</v>
      </c>
      <c r="P146" t="str">
        <f t="shared" si="18"/>
        <v>5.1</v>
      </c>
      <c r="Q146" t="str">
        <f t="shared" si="19"/>
        <v>OK</v>
      </c>
      <c r="R146" t="b">
        <f t="shared" si="22"/>
        <v>1</v>
      </c>
      <c r="S146" t="str">
        <f t="shared" si="20"/>
        <v>High</v>
      </c>
      <c r="T146" t="str">
        <f t="shared" si="21"/>
        <v>7</v>
      </c>
      <c r="U146">
        <v>6</v>
      </c>
      <c r="V146" t="b">
        <f t="shared" si="23"/>
        <v>1</v>
      </c>
    </row>
    <row r="147" spans="1:22" x14ac:dyDescent="0.25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3.8</v>
      </c>
      <c r="G147" t="s">
        <v>16</v>
      </c>
      <c r="H147" t="s">
        <v>23</v>
      </c>
      <c r="I147">
        <v>8.1999999999999993</v>
      </c>
      <c r="J147">
        <v>8</v>
      </c>
      <c r="K147" t="s">
        <v>18</v>
      </c>
      <c r="L147">
        <v>2</v>
      </c>
      <c r="M147">
        <v>5</v>
      </c>
      <c r="N147" t="str">
        <f t="shared" si="16"/>
        <v>Instagram</v>
      </c>
      <c r="O147">
        <f t="shared" si="17"/>
        <v>1</v>
      </c>
      <c r="P147" t="str">
        <f t="shared" si="18"/>
        <v>8.2</v>
      </c>
      <c r="Q147" t="str">
        <f t="shared" si="19"/>
        <v>OK</v>
      </c>
      <c r="R147" t="str">
        <f t="shared" si="22"/>
        <v>medium</v>
      </c>
      <c r="S147" t="str">
        <f t="shared" si="20"/>
        <v>Medium</v>
      </c>
      <c r="T147" t="str">
        <f t="shared" si="21"/>
        <v>5</v>
      </c>
      <c r="U147">
        <v>6</v>
      </c>
      <c r="V147" t="b">
        <f t="shared" si="23"/>
        <v>1</v>
      </c>
    </row>
    <row r="148" spans="1:22" x14ac:dyDescent="0.25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4.5</v>
      </c>
      <c r="G148" t="s">
        <v>26</v>
      </c>
      <c r="H148" t="s">
        <v>17</v>
      </c>
      <c r="I148">
        <v>7.1</v>
      </c>
      <c r="J148">
        <v>5</v>
      </c>
      <c r="K148" t="s">
        <v>24</v>
      </c>
      <c r="L148">
        <v>4</v>
      </c>
      <c r="M148">
        <v>8</v>
      </c>
      <c r="N148" t="str">
        <f t="shared" si="16"/>
        <v>Tiktok</v>
      </c>
      <c r="O148">
        <f t="shared" si="17"/>
        <v>2</v>
      </c>
      <c r="P148" t="str">
        <f t="shared" si="18"/>
        <v>7.1</v>
      </c>
      <c r="Q148" t="str">
        <f t="shared" si="19"/>
        <v>OK</v>
      </c>
      <c r="R148" t="b">
        <f t="shared" si="22"/>
        <v>1</v>
      </c>
      <c r="S148" t="str">
        <f t="shared" si="20"/>
        <v>High</v>
      </c>
      <c r="T148" t="str">
        <f t="shared" si="21"/>
        <v>8</v>
      </c>
      <c r="U148">
        <v>6</v>
      </c>
      <c r="V148" t="b">
        <f t="shared" si="23"/>
        <v>1</v>
      </c>
    </row>
    <row r="149" spans="1:22" x14ac:dyDescent="0.25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 t="s">
        <v>16</v>
      </c>
      <c r="H149" t="s">
        <v>17</v>
      </c>
      <c r="I149">
        <v>5</v>
      </c>
      <c r="J149">
        <v>6</v>
      </c>
      <c r="K149" t="s">
        <v>18</v>
      </c>
      <c r="L149">
        <v>3</v>
      </c>
      <c r="M149">
        <v>7</v>
      </c>
      <c r="N149" t="str">
        <f t="shared" si="16"/>
        <v>Instagram</v>
      </c>
      <c r="O149">
        <f t="shared" si="17"/>
        <v>1</v>
      </c>
      <c r="P149" t="str">
        <f t="shared" si="18"/>
        <v>5</v>
      </c>
      <c r="Q149" t="str">
        <f t="shared" si="19"/>
        <v>OK</v>
      </c>
      <c r="R149" t="b">
        <f t="shared" si="22"/>
        <v>1</v>
      </c>
      <c r="S149" t="str">
        <f t="shared" si="20"/>
        <v>High</v>
      </c>
      <c r="T149" t="str">
        <f t="shared" si="21"/>
        <v>7</v>
      </c>
      <c r="U149">
        <v>6</v>
      </c>
      <c r="V149" t="b">
        <f t="shared" si="23"/>
        <v>1</v>
      </c>
    </row>
    <row r="150" spans="1:22" x14ac:dyDescent="0.25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3.7</v>
      </c>
      <c r="G150" t="s">
        <v>32</v>
      </c>
      <c r="H150" t="s">
        <v>23</v>
      </c>
      <c r="I150">
        <v>8.3000000000000007</v>
      </c>
      <c r="J150">
        <v>7</v>
      </c>
      <c r="K150" t="s">
        <v>24</v>
      </c>
      <c r="L150">
        <v>2</v>
      </c>
      <c r="M150">
        <v>5</v>
      </c>
      <c r="N150" t="str">
        <f t="shared" si="16"/>
        <v>Facebook</v>
      </c>
      <c r="O150">
        <f t="shared" si="17"/>
        <v>0</v>
      </c>
      <c r="P150" t="str">
        <f t="shared" si="18"/>
        <v>8.3</v>
      </c>
      <c r="Q150" t="str">
        <f t="shared" si="19"/>
        <v>OK</v>
      </c>
      <c r="R150" t="str">
        <f t="shared" si="22"/>
        <v>medium</v>
      </c>
      <c r="S150" t="str">
        <f t="shared" si="20"/>
        <v>Medium</v>
      </c>
      <c r="T150" t="str">
        <f t="shared" si="21"/>
        <v>5</v>
      </c>
      <c r="U150">
        <v>6</v>
      </c>
      <c r="V150" t="b">
        <f t="shared" si="23"/>
        <v>1</v>
      </c>
    </row>
    <row r="151" spans="1:22" x14ac:dyDescent="0.25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4.4000000000000004</v>
      </c>
      <c r="G151" t="s">
        <v>16</v>
      </c>
      <c r="H151" t="s">
        <v>17</v>
      </c>
      <c r="I151">
        <v>7.2</v>
      </c>
      <c r="J151">
        <v>5</v>
      </c>
      <c r="K151" t="s">
        <v>18</v>
      </c>
      <c r="L151">
        <v>4</v>
      </c>
      <c r="M151">
        <v>8</v>
      </c>
      <c r="N151" t="str">
        <f t="shared" si="16"/>
        <v>Instagram</v>
      </c>
      <c r="O151">
        <f t="shared" si="17"/>
        <v>1</v>
      </c>
      <c r="P151" t="str">
        <f t="shared" si="18"/>
        <v>7.2</v>
      </c>
      <c r="Q151" t="str">
        <f t="shared" si="19"/>
        <v>OK</v>
      </c>
      <c r="R151" t="b">
        <f t="shared" si="22"/>
        <v>1</v>
      </c>
      <c r="S151" t="str">
        <f t="shared" si="20"/>
        <v>High</v>
      </c>
      <c r="T151" t="str">
        <f t="shared" si="21"/>
        <v>8</v>
      </c>
      <c r="U151">
        <v>6</v>
      </c>
      <c r="V151" t="b">
        <f t="shared" si="23"/>
        <v>1</v>
      </c>
    </row>
    <row r="152" spans="1:22" x14ac:dyDescent="0.25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4.9000000000000004</v>
      </c>
      <c r="G152" t="s">
        <v>26</v>
      </c>
      <c r="H152" t="s">
        <v>17</v>
      </c>
      <c r="I152">
        <v>4.9000000000000004</v>
      </c>
      <c r="J152">
        <v>6</v>
      </c>
      <c r="K152" t="s">
        <v>24</v>
      </c>
      <c r="L152">
        <v>3</v>
      </c>
      <c r="M152">
        <v>7</v>
      </c>
      <c r="N152" t="str">
        <f t="shared" si="16"/>
        <v>Tiktok</v>
      </c>
      <c r="O152">
        <f t="shared" si="17"/>
        <v>2</v>
      </c>
      <c r="P152" t="str">
        <f t="shared" si="18"/>
        <v>4.9</v>
      </c>
      <c r="Q152" t="str">
        <f t="shared" si="19"/>
        <v>LESS SLEEP</v>
      </c>
      <c r="R152" t="b">
        <f t="shared" si="22"/>
        <v>1</v>
      </c>
      <c r="S152" t="str">
        <f t="shared" si="20"/>
        <v>High</v>
      </c>
      <c r="T152" t="str">
        <f t="shared" si="21"/>
        <v>7</v>
      </c>
      <c r="U152">
        <v>5.9</v>
      </c>
      <c r="V152" t="b">
        <f t="shared" si="23"/>
        <v>1</v>
      </c>
    </row>
    <row r="153" spans="1:22" x14ac:dyDescent="0.25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3.6</v>
      </c>
      <c r="G153" t="s">
        <v>16</v>
      </c>
      <c r="H153" t="s">
        <v>23</v>
      </c>
      <c r="I153">
        <v>8.4</v>
      </c>
      <c r="J153">
        <v>8</v>
      </c>
      <c r="K153" t="s">
        <v>18</v>
      </c>
      <c r="L153">
        <v>2</v>
      </c>
      <c r="M153">
        <v>5</v>
      </c>
      <c r="N153" t="str">
        <f t="shared" si="16"/>
        <v>Instagram</v>
      </c>
      <c r="O153">
        <f t="shared" si="17"/>
        <v>1</v>
      </c>
      <c r="P153" t="str">
        <f t="shared" si="18"/>
        <v>8.4</v>
      </c>
      <c r="Q153" t="str">
        <f t="shared" si="19"/>
        <v>OK</v>
      </c>
      <c r="R153" t="str">
        <f t="shared" si="22"/>
        <v>medium</v>
      </c>
      <c r="S153" t="str">
        <f t="shared" si="20"/>
        <v>Medium</v>
      </c>
      <c r="T153" t="str">
        <f t="shared" si="21"/>
        <v>5</v>
      </c>
      <c r="U153">
        <v>5.9</v>
      </c>
      <c r="V153" t="b">
        <f t="shared" si="23"/>
        <v>1</v>
      </c>
    </row>
    <row r="154" spans="1:22" x14ac:dyDescent="0.25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4.3</v>
      </c>
      <c r="G154" t="s">
        <v>32</v>
      </c>
      <c r="H154" t="s">
        <v>17</v>
      </c>
      <c r="I154">
        <v>7.3</v>
      </c>
      <c r="J154">
        <v>5</v>
      </c>
      <c r="K154" t="s">
        <v>24</v>
      </c>
      <c r="L154">
        <v>4</v>
      </c>
      <c r="M154">
        <v>8</v>
      </c>
      <c r="N154" t="str">
        <f t="shared" si="16"/>
        <v>Facebook</v>
      </c>
      <c r="O154">
        <f t="shared" si="17"/>
        <v>0</v>
      </c>
      <c r="P154" t="str">
        <f t="shared" si="18"/>
        <v>7.3</v>
      </c>
      <c r="Q154" t="str">
        <f t="shared" si="19"/>
        <v>OK</v>
      </c>
      <c r="R154" t="b">
        <f t="shared" si="22"/>
        <v>1</v>
      </c>
      <c r="S154" t="str">
        <f t="shared" si="20"/>
        <v>High</v>
      </c>
      <c r="T154" t="str">
        <f t="shared" si="21"/>
        <v>8</v>
      </c>
      <c r="U154">
        <v>5.9</v>
      </c>
      <c r="V154" t="b">
        <f t="shared" si="23"/>
        <v>1</v>
      </c>
    </row>
    <row r="155" spans="1:22" x14ac:dyDescent="0.25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 t="s">
        <v>16</v>
      </c>
      <c r="H155" t="s">
        <v>17</v>
      </c>
      <c r="I155">
        <v>4.8</v>
      </c>
      <c r="J155">
        <v>6</v>
      </c>
      <c r="K155" t="s">
        <v>18</v>
      </c>
      <c r="L155">
        <v>3</v>
      </c>
      <c r="M155">
        <v>7</v>
      </c>
      <c r="N155" t="str">
        <f t="shared" si="16"/>
        <v>Instagram</v>
      </c>
      <c r="O155">
        <f t="shared" si="17"/>
        <v>1</v>
      </c>
      <c r="P155" t="str">
        <f t="shared" si="18"/>
        <v>4.8</v>
      </c>
      <c r="Q155" t="str">
        <f t="shared" si="19"/>
        <v>LESS SLEEP</v>
      </c>
      <c r="R155" t="b">
        <f t="shared" si="22"/>
        <v>1</v>
      </c>
      <c r="S155" t="str">
        <f t="shared" si="20"/>
        <v>High</v>
      </c>
      <c r="T155" t="str">
        <f t="shared" si="21"/>
        <v>7</v>
      </c>
      <c r="U155">
        <v>5.9</v>
      </c>
      <c r="V155" t="b">
        <f t="shared" si="23"/>
        <v>1</v>
      </c>
    </row>
    <row r="156" spans="1:22" x14ac:dyDescent="0.25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3.5</v>
      </c>
      <c r="G156" t="s">
        <v>26</v>
      </c>
      <c r="H156" t="s">
        <v>23</v>
      </c>
      <c r="I156">
        <v>8.5</v>
      </c>
      <c r="J156">
        <v>7</v>
      </c>
      <c r="K156" t="s">
        <v>24</v>
      </c>
      <c r="L156">
        <v>2</v>
      </c>
      <c r="M156">
        <v>5</v>
      </c>
      <c r="N156" t="str">
        <f t="shared" si="16"/>
        <v>Tiktok</v>
      </c>
      <c r="O156">
        <f t="shared" si="17"/>
        <v>2</v>
      </c>
      <c r="P156" t="str">
        <f t="shared" si="18"/>
        <v>8.5</v>
      </c>
      <c r="Q156" t="str">
        <f t="shared" si="19"/>
        <v>OK</v>
      </c>
      <c r="R156" t="str">
        <f t="shared" si="22"/>
        <v>medium</v>
      </c>
      <c r="S156" t="str">
        <f t="shared" si="20"/>
        <v>Medium</v>
      </c>
      <c r="T156" t="str">
        <f t="shared" si="21"/>
        <v>5</v>
      </c>
      <c r="U156">
        <v>5.9</v>
      </c>
      <c r="V156" t="b">
        <f t="shared" si="23"/>
        <v>1</v>
      </c>
    </row>
    <row r="157" spans="1:22" x14ac:dyDescent="0.25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4.2</v>
      </c>
      <c r="G157" t="s">
        <v>16</v>
      </c>
      <c r="H157" t="s">
        <v>17</v>
      </c>
      <c r="I157">
        <v>7.4</v>
      </c>
      <c r="J157">
        <v>5</v>
      </c>
      <c r="K157" t="s">
        <v>18</v>
      </c>
      <c r="L157">
        <v>4</v>
      </c>
      <c r="M157">
        <v>8</v>
      </c>
      <c r="N157" t="str">
        <f t="shared" si="16"/>
        <v>Instagram</v>
      </c>
      <c r="O157">
        <f t="shared" si="17"/>
        <v>1</v>
      </c>
      <c r="P157" t="str">
        <f t="shared" si="18"/>
        <v>7.4</v>
      </c>
      <c r="Q157" t="str">
        <f t="shared" si="19"/>
        <v>OK</v>
      </c>
      <c r="R157" t="b">
        <f t="shared" si="22"/>
        <v>1</v>
      </c>
      <c r="S157" t="str">
        <f t="shared" si="20"/>
        <v>High</v>
      </c>
      <c r="T157" t="str">
        <f t="shared" si="21"/>
        <v>8</v>
      </c>
      <c r="U157">
        <v>5.9</v>
      </c>
      <c r="V157" t="b">
        <f t="shared" si="23"/>
        <v>1</v>
      </c>
    </row>
    <row r="158" spans="1:22" x14ac:dyDescent="0.25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 t="s">
        <v>32</v>
      </c>
      <c r="H158" t="s">
        <v>17</v>
      </c>
      <c r="I158">
        <v>4.7</v>
      </c>
      <c r="J158">
        <v>6</v>
      </c>
      <c r="K158" t="s">
        <v>24</v>
      </c>
      <c r="L158">
        <v>3</v>
      </c>
      <c r="M158">
        <v>7</v>
      </c>
      <c r="N158" t="str">
        <f t="shared" si="16"/>
        <v>Facebook</v>
      </c>
      <c r="O158">
        <f t="shared" si="17"/>
        <v>0</v>
      </c>
      <c r="P158" t="str">
        <f t="shared" si="18"/>
        <v>4.7</v>
      </c>
      <c r="Q158" t="str">
        <f t="shared" si="19"/>
        <v>LESS SLEEP</v>
      </c>
      <c r="R158" t="b">
        <f t="shared" si="22"/>
        <v>1</v>
      </c>
      <c r="S158" t="str">
        <f t="shared" si="20"/>
        <v>High</v>
      </c>
      <c r="T158" t="str">
        <f t="shared" si="21"/>
        <v>7</v>
      </c>
      <c r="U158">
        <v>5.9</v>
      </c>
      <c r="V158" t="b">
        <f t="shared" si="23"/>
        <v>1</v>
      </c>
    </row>
    <row r="159" spans="1:22" x14ac:dyDescent="0.25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3.4</v>
      </c>
      <c r="G159" t="s">
        <v>16</v>
      </c>
      <c r="H159" t="s">
        <v>23</v>
      </c>
      <c r="I159">
        <v>8.6</v>
      </c>
      <c r="J159">
        <v>8</v>
      </c>
      <c r="K159" t="s">
        <v>18</v>
      </c>
      <c r="L159">
        <v>2</v>
      </c>
      <c r="M159">
        <v>5</v>
      </c>
      <c r="N159" t="str">
        <f t="shared" si="16"/>
        <v>Instagram</v>
      </c>
      <c r="O159">
        <f t="shared" si="17"/>
        <v>1</v>
      </c>
      <c r="P159" t="str">
        <f t="shared" si="18"/>
        <v>8.6</v>
      </c>
      <c r="Q159" t="str">
        <f t="shared" si="19"/>
        <v>OK</v>
      </c>
      <c r="R159" t="str">
        <f t="shared" si="22"/>
        <v>medium</v>
      </c>
      <c r="S159" t="str">
        <f t="shared" si="20"/>
        <v>Medium</v>
      </c>
      <c r="T159" t="str">
        <f t="shared" si="21"/>
        <v>5</v>
      </c>
      <c r="U159">
        <v>5.9</v>
      </c>
      <c r="V159" t="b">
        <f t="shared" si="23"/>
        <v>1</v>
      </c>
    </row>
    <row r="160" spans="1:22" x14ac:dyDescent="0.25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4.0999999999999996</v>
      </c>
      <c r="G160" t="s">
        <v>26</v>
      </c>
      <c r="H160" t="s">
        <v>17</v>
      </c>
      <c r="I160">
        <v>7.5</v>
      </c>
      <c r="J160">
        <v>5</v>
      </c>
      <c r="K160" t="s">
        <v>24</v>
      </c>
      <c r="L160">
        <v>4</v>
      </c>
      <c r="M160">
        <v>8</v>
      </c>
      <c r="N160" t="str">
        <f t="shared" si="16"/>
        <v>Tiktok</v>
      </c>
      <c r="O160">
        <f t="shared" si="17"/>
        <v>2</v>
      </c>
      <c r="P160" t="str">
        <f t="shared" si="18"/>
        <v>7.5</v>
      </c>
      <c r="Q160" t="str">
        <f t="shared" si="19"/>
        <v>OK</v>
      </c>
      <c r="R160" t="b">
        <f t="shared" si="22"/>
        <v>1</v>
      </c>
      <c r="S160" t="str">
        <f t="shared" si="20"/>
        <v>High</v>
      </c>
      <c r="T160" t="str">
        <f t="shared" si="21"/>
        <v>8</v>
      </c>
      <c r="U160">
        <v>5.9</v>
      </c>
      <c r="V160" t="b">
        <f t="shared" si="23"/>
        <v>1</v>
      </c>
    </row>
    <row r="161" spans="1:22" x14ac:dyDescent="0.25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4.5999999999999996</v>
      </c>
      <c r="G161" t="s">
        <v>16</v>
      </c>
      <c r="H161" t="s">
        <v>17</v>
      </c>
      <c r="I161">
        <v>4.5999999999999996</v>
      </c>
      <c r="J161">
        <v>6</v>
      </c>
      <c r="K161" t="s">
        <v>18</v>
      </c>
      <c r="L161">
        <v>3</v>
      </c>
      <c r="M161">
        <v>7</v>
      </c>
      <c r="N161" t="str">
        <f t="shared" si="16"/>
        <v>Instagram</v>
      </c>
      <c r="O161">
        <f t="shared" si="17"/>
        <v>1</v>
      </c>
      <c r="P161" t="str">
        <f t="shared" si="18"/>
        <v>4.6</v>
      </c>
      <c r="Q161" t="str">
        <f t="shared" si="19"/>
        <v>LESS SLEEP</v>
      </c>
      <c r="R161" t="b">
        <f t="shared" si="22"/>
        <v>1</v>
      </c>
      <c r="S161" t="str">
        <f t="shared" si="20"/>
        <v>High</v>
      </c>
      <c r="T161" t="str">
        <f t="shared" si="21"/>
        <v>7</v>
      </c>
      <c r="U161">
        <v>5.9</v>
      </c>
      <c r="V161" t="b">
        <f t="shared" si="23"/>
        <v>1</v>
      </c>
    </row>
    <row r="162" spans="1:22" x14ac:dyDescent="0.25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5.3</v>
      </c>
      <c r="G162" t="s">
        <v>16</v>
      </c>
      <c r="H162" t="s">
        <v>17</v>
      </c>
      <c r="I162">
        <v>6.1</v>
      </c>
      <c r="J162">
        <v>5</v>
      </c>
      <c r="K162" t="s">
        <v>24</v>
      </c>
      <c r="L162">
        <v>3</v>
      </c>
      <c r="M162">
        <v>7</v>
      </c>
      <c r="N162" t="str">
        <f t="shared" si="16"/>
        <v>Instagram</v>
      </c>
      <c r="O162">
        <f t="shared" si="17"/>
        <v>1</v>
      </c>
      <c r="P162" t="str">
        <f t="shared" si="18"/>
        <v>6.1</v>
      </c>
      <c r="Q162" t="str">
        <f t="shared" si="19"/>
        <v>OK</v>
      </c>
      <c r="R162" t="b">
        <f t="shared" si="22"/>
        <v>1</v>
      </c>
      <c r="S162" t="str">
        <f t="shared" si="20"/>
        <v>High</v>
      </c>
      <c r="T162" t="str">
        <f t="shared" si="21"/>
        <v>7</v>
      </c>
      <c r="U162">
        <v>5.9</v>
      </c>
      <c r="V162" t="b">
        <f t="shared" si="23"/>
        <v>1</v>
      </c>
    </row>
    <row r="163" spans="1:22" x14ac:dyDescent="0.25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4.8</v>
      </c>
      <c r="G163" t="s">
        <v>32</v>
      </c>
      <c r="H163" t="s">
        <v>23</v>
      </c>
      <c r="I163">
        <v>7.2</v>
      </c>
      <c r="J163">
        <v>7</v>
      </c>
      <c r="K163" t="s">
        <v>18</v>
      </c>
      <c r="L163">
        <v>2</v>
      </c>
      <c r="M163">
        <v>6</v>
      </c>
      <c r="N163" t="str">
        <f t="shared" si="16"/>
        <v>Facebook</v>
      </c>
      <c r="O163">
        <f t="shared" si="17"/>
        <v>0</v>
      </c>
      <c r="P163" t="str">
        <f t="shared" si="18"/>
        <v>7.2</v>
      </c>
      <c r="Q163" t="str">
        <f t="shared" si="19"/>
        <v>OK</v>
      </c>
      <c r="R163" t="str">
        <f t="shared" si="22"/>
        <v>medium</v>
      </c>
      <c r="S163" t="str">
        <f t="shared" si="20"/>
        <v>Medium</v>
      </c>
      <c r="T163" t="str">
        <f t="shared" si="21"/>
        <v>6</v>
      </c>
      <c r="U163">
        <v>5.9</v>
      </c>
      <c r="V163" t="b">
        <f t="shared" si="23"/>
        <v>1</v>
      </c>
    </row>
    <row r="164" spans="1:22" x14ac:dyDescent="0.25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5.5</v>
      </c>
      <c r="G164" t="s">
        <v>26</v>
      </c>
      <c r="H164" t="s">
        <v>17</v>
      </c>
      <c r="I164">
        <v>5.9</v>
      </c>
      <c r="J164">
        <v>6</v>
      </c>
      <c r="K164" t="s">
        <v>24</v>
      </c>
      <c r="L164">
        <v>4</v>
      </c>
      <c r="M164">
        <v>8</v>
      </c>
      <c r="N164" t="str">
        <f t="shared" si="16"/>
        <v>Tiktok</v>
      </c>
      <c r="O164">
        <f t="shared" si="17"/>
        <v>2</v>
      </c>
      <c r="P164" t="str">
        <f t="shared" si="18"/>
        <v>5.9</v>
      </c>
      <c r="Q164" t="str">
        <f t="shared" si="19"/>
        <v>OK</v>
      </c>
      <c r="R164" t="b">
        <f t="shared" si="22"/>
        <v>1</v>
      </c>
      <c r="S164" t="str">
        <f t="shared" si="20"/>
        <v>High</v>
      </c>
      <c r="T164" t="str">
        <f t="shared" si="21"/>
        <v>8</v>
      </c>
      <c r="U164">
        <v>5.9</v>
      </c>
      <c r="V164" t="b">
        <f t="shared" si="23"/>
        <v>1</v>
      </c>
    </row>
    <row r="165" spans="1:22" x14ac:dyDescent="0.25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4.7</v>
      </c>
      <c r="G165" t="s">
        <v>16</v>
      </c>
      <c r="H165" t="s">
        <v>17</v>
      </c>
      <c r="I165">
        <v>6.3</v>
      </c>
      <c r="J165">
        <v>5</v>
      </c>
      <c r="K165" t="s">
        <v>18</v>
      </c>
      <c r="L165">
        <v>3</v>
      </c>
      <c r="M165">
        <v>7</v>
      </c>
      <c r="N165" t="str">
        <f t="shared" si="16"/>
        <v>Instagram</v>
      </c>
      <c r="O165">
        <f t="shared" si="17"/>
        <v>1</v>
      </c>
      <c r="P165" t="str">
        <f t="shared" si="18"/>
        <v>6.3</v>
      </c>
      <c r="Q165" t="str">
        <f t="shared" si="19"/>
        <v>OK</v>
      </c>
      <c r="R165" t="b">
        <f t="shared" si="22"/>
        <v>1</v>
      </c>
      <c r="S165" t="str">
        <f t="shared" si="20"/>
        <v>High</v>
      </c>
      <c r="T165" t="str">
        <f t="shared" si="21"/>
        <v>7</v>
      </c>
      <c r="U165">
        <v>5.8</v>
      </c>
      <c r="V165" t="b">
        <f t="shared" si="23"/>
        <v>1</v>
      </c>
    </row>
    <row r="166" spans="1:22" x14ac:dyDescent="0.25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5.0999999999999996</v>
      </c>
      <c r="G166" t="s">
        <v>32</v>
      </c>
      <c r="H166" t="s">
        <v>23</v>
      </c>
      <c r="I166">
        <v>7</v>
      </c>
      <c r="J166">
        <v>7</v>
      </c>
      <c r="K166" t="s">
        <v>24</v>
      </c>
      <c r="L166">
        <v>2</v>
      </c>
      <c r="M166">
        <v>5</v>
      </c>
      <c r="N166" t="str">
        <f t="shared" si="16"/>
        <v>Facebook</v>
      </c>
      <c r="O166">
        <f t="shared" si="17"/>
        <v>0</v>
      </c>
      <c r="P166" t="str">
        <f t="shared" si="18"/>
        <v>7</v>
      </c>
      <c r="Q166" t="str">
        <f t="shared" si="19"/>
        <v>OK</v>
      </c>
      <c r="R166" t="str">
        <f t="shared" si="22"/>
        <v>medium</v>
      </c>
      <c r="S166" t="str">
        <f t="shared" si="20"/>
        <v>Medium</v>
      </c>
      <c r="T166" t="str">
        <f t="shared" si="21"/>
        <v>5</v>
      </c>
      <c r="U166">
        <v>5.8</v>
      </c>
      <c r="V166" t="b">
        <f t="shared" si="23"/>
        <v>1</v>
      </c>
    </row>
    <row r="167" spans="1:22" x14ac:dyDescent="0.25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5.4</v>
      </c>
      <c r="G167" t="s">
        <v>26</v>
      </c>
      <c r="H167" t="s">
        <v>17</v>
      </c>
      <c r="I167">
        <v>6</v>
      </c>
      <c r="J167">
        <v>6</v>
      </c>
      <c r="K167" t="s">
        <v>18</v>
      </c>
      <c r="L167">
        <v>4</v>
      </c>
      <c r="M167">
        <v>8</v>
      </c>
      <c r="N167" t="str">
        <f t="shared" si="16"/>
        <v>Tiktok</v>
      </c>
      <c r="O167">
        <f t="shared" si="17"/>
        <v>2</v>
      </c>
      <c r="P167" t="str">
        <f t="shared" si="18"/>
        <v>6</v>
      </c>
      <c r="Q167" t="str">
        <f t="shared" si="19"/>
        <v>OK</v>
      </c>
      <c r="R167" t="b">
        <f t="shared" si="22"/>
        <v>1</v>
      </c>
      <c r="S167" t="str">
        <f t="shared" si="20"/>
        <v>High</v>
      </c>
      <c r="T167" t="str">
        <f t="shared" si="21"/>
        <v>8</v>
      </c>
      <c r="U167">
        <v>5.8</v>
      </c>
      <c r="V167" t="b">
        <f t="shared" si="23"/>
        <v>1</v>
      </c>
    </row>
    <row r="168" spans="1:22" x14ac:dyDescent="0.25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4.9000000000000004</v>
      </c>
      <c r="G168" t="s">
        <v>16</v>
      </c>
      <c r="H168" t="s">
        <v>17</v>
      </c>
      <c r="I168">
        <v>6.4</v>
      </c>
      <c r="J168">
        <v>5</v>
      </c>
      <c r="K168" t="s">
        <v>24</v>
      </c>
      <c r="L168">
        <v>3</v>
      </c>
      <c r="M168">
        <v>7</v>
      </c>
      <c r="N168" t="str">
        <f t="shared" si="16"/>
        <v>Instagram</v>
      </c>
      <c r="O168">
        <f t="shared" si="17"/>
        <v>1</v>
      </c>
      <c r="P168" t="str">
        <f t="shared" si="18"/>
        <v>6.4</v>
      </c>
      <c r="Q168" t="str">
        <f t="shared" si="19"/>
        <v>OK</v>
      </c>
      <c r="R168" t="b">
        <f t="shared" si="22"/>
        <v>1</v>
      </c>
      <c r="S168" t="str">
        <f t="shared" si="20"/>
        <v>High</v>
      </c>
      <c r="T168" t="str">
        <f t="shared" si="21"/>
        <v>7</v>
      </c>
      <c r="U168">
        <v>5.8</v>
      </c>
      <c r="V168" t="b">
        <f t="shared" si="23"/>
        <v>1</v>
      </c>
    </row>
    <row r="169" spans="1:22" x14ac:dyDescent="0.25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5.2</v>
      </c>
      <c r="G169" t="s">
        <v>32</v>
      </c>
      <c r="H169" t="s">
        <v>23</v>
      </c>
      <c r="I169">
        <v>7.1</v>
      </c>
      <c r="J169">
        <v>7</v>
      </c>
      <c r="K169" t="s">
        <v>18</v>
      </c>
      <c r="L169">
        <v>2</v>
      </c>
      <c r="M169">
        <v>6</v>
      </c>
      <c r="N169" t="str">
        <f t="shared" si="16"/>
        <v>Facebook</v>
      </c>
      <c r="O169">
        <f t="shared" si="17"/>
        <v>0</v>
      </c>
      <c r="P169" t="str">
        <f t="shared" si="18"/>
        <v>7.1</v>
      </c>
      <c r="Q169" t="str">
        <f t="shared" si="19"/>
        <v>OK</v>
      </c>
      <c r="R169" t="str">
        <f t="shared" si="22"/>
        <v>medium</v>
      </c>
      <c r="S169" t="str">
        <f t="shared" si="20"/>
        <v>Medium</v>
      </c>
      <c r="T169" t="str">
        <f t="shared" si="21"/>
        <v>6</v>
      </c>
      <c r="U169">
        <v>5.8</v>
      </c>
      <c r="V169" t="b">
        <f t="shared" si="23"/>
        <v>1</v>
      </c>
    </row>
    <row r="170" spans="1:22" x14ac:dyDescent="0.25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5.6</v>
      </c>
      <c r="G170" t="s">
        <v>26</v>
      </c>
      <c r="H170" t="s">
        <v>17</v>
      </c>
      <c r="I170">
        <v>5.8</v>
      </c>
      <c r="J170">
        <v>6</v>
      </c>
      <c r="K170" t="s">
        <v>24</v>
      </c>
      <c r="L170">
        <v>4</v>
      </c>
      <c r="M170">
        <v>8</v>
      </c>
      <c r="N170" t="str">
        <f t="shared" si="16"/>
        <v>Tiktok</v>
      </c>
      <c r="O170">
        <f t="shared" si="17"/>
        <v>2</v>
      </c>
      <c r="P170" t="str">
        <f t="shared" si="18"/>
        <v>5.8</v>
      </c>
      <c r="Q170" t="str">
        <f t="shared" si="19"/>
        <v>OK</v>
      </c>
      <c r="R170" t="b">
        <f t="shared" si="22"/>
        <v>1</v>
      </c>
      <c r="S170" t="str">
        <f t="shared" si="20"/>
        <v>High</v>
      </c>
      <c r="T170" t="str">
        <f t="shared" si="21"/>
        <v>8</v>
      </c>
      <c r="U170">
        <v>5.8</v>
      </c>
      <c r="V170" t="b">
        <f t="shared" si="23"/>
        <v>1</v>
      </c>
    </row>
    <row r="171" spans="1:22" x14ac:dyDescent="0.25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4.5999999999999996</v>
      </c>
      <c r="G171" t="s">
        <v>16</v>
      </c>
      <c r="H171" t="s">
        <v>17</v>
      </c>
      <c r="I171">
        <v>6.5</v>
      </c>
      <c r="J171">
        <v>5</v>
      </c>
      <c r="K171" t="s">
        <v>18</v>
      </c>
      <c r="L171">
        <v>3</v>
      </c>
      <c r="M171">
        <v>7</v>
      </c>
      <c r="N171" t="str">
        <f t="shared" si="16"/>
        <v>Instagram</v>
      </c>
      <c r="O171">
        <f t="shared" si="17"/>
        <v>1</v>
      </c>
      <c r="P171" t="str">
        <f t="shared" si="18"/>
        <v>6.5</v>
      </c>
      <c r="Q171" t="str">
        <f t="shared" si="19"/>
        <v>OK</v>
      </c>
      <c r="R171" t="b">
        <f t="shared" si="22"/>
        <v>1</v>
      </c>
      <c r="S171" t="str">
        <f t="shared" si="20"/>
        <v>High</v>
      </c>
      <c r="T171" t="str">
        <f t="shared" si="21"/>
        <v>7</v>
      </c>
      <c r="U171">
        <v>5.8</v>
      </c>
      <c r="V171" t="b">
        <f t="shared" si="23"/>
        <v>1</v>
      </c>
    </row>
    <row r="172" spans="1:22" x14ac:dyDescent="0.25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5</v>
      </c>
      <c r="G172" t="s">
        <v>32</v>
      </c>
      <c r="H172" t="s">
        <v>23</v>
      </c>
      <c r="I172">
        <v>7.3</v>
      </c>
      <c r="J172">
        <v>7</v>
      </c>
      <c r="K172" t="s">
        <v>24</v>
      </c>
      <c r="L172">
        <v>2</v>
      </c>
      <c r="M172">
        <v>5</v>
      </c>
      <c r="N172" t="str">
        <f t="shared" si="16"/>
        <v>Facebook</v>
      </c>
      <c r="O172">
        <f t="shared" si="17"/>
        <v>0</v>
      </c>
      <c r="P172" t="str">
        <f t="shared" si="18"/>
        <v>7.3</v>
      </c>
      <c r="Q172" t="str">
        <f t="shared" si="19"/>
        <v>OK</v>
      </c>
      <c r="R172" t="str">
        <f t="shared" si="22"/>
        <v>medium</v>
      </c>
      <c r="S172" t="str">
        <f t="shared" si="20"/>
        <v>Medium</v>
      </c>
      <c r="T172" t="str">
        <f t="shared" si="21"/>
        <v>5</v>
      </c>
      <c r="U172">
        <v>5.8</v>
      </c>
      <c r="V172" t="b">
        <f t="shared" si="23"/>
        <v>1</v>
      </c>
    </row>
    <row r="173" spans="1:22" x14ac:dyDescent="0.25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5.3</v>
      </c>
      <c r="G173" t="s">
        <v>26</v>
      </c>
      <c r="H173" t="s">
        <v>17</v>
      </c>
      <c r="I173">
        <v>5.7</v>
      </c>
      <c r="J173">
        <v>6</v>
      </c>
      <c r="K173" t="s">
        <v>18</v>
      </c>
      <c r="L173">
        <v>4</v>
      </c>
      <c r="M173">
        <v>8</v>
      </c>
      <c r="N173" t="str">
        <f t="shared" si="16"/>
        <v>Tiktok</v>
      </c>
      <c r="O173">
        <f t="shared" si="17"/>
        <v>2</v>
      </c>
      <c r="P173" t="str">
        <f t="shared" si="18"/>
        <v>5.7</v>
      </c>
      <c r="Q173" t="str">
        <f t="shared" si="19"/>
        <v>OK</v>
      </c>
      <c r="R173" t="b">
        <f t="shared" si="22"/>
        <v>1</v>
      </c>
      <c r="S173" t="str">
        <f t="shared" si="20"/>
        <v>High</v>
      </c>
      <c r="T173" t="str">
        <f t="shared" si="21"/>
        <v>8</v>
      </c>
      <c r="U173">
        <v>5.8</v>
      </c>
      <c r="V173" t="b">
        <f t="shared" si="23"/>
        <v>1</v>
      </c>
    </row>
    <row r="174" spans="1:22" x14ac:dyDescent="0.25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4.8</v>
      </c>
      <c r="G174" t="s">
        <v>16</v>
      </c>
      <c r="H174" t="s">
        <v>17</v>
      </c>
      <c r="I174">
        <v>6.6</v>
      </c>
      <c r="J174">
        <v>5</v>
      </c>
      <c r="K174" t="s">
        <v>24</v>
      </c>
      <c r="L174">
        <v>3</v>
      </c>
      <c r="M174">
        <v>7</v>
      </c>
      <c r="N174" t="str">
        <f t="shared" si="16"/>
        <v>Instagram</v>
      </c>
      <c r="O174">
        <f t="shared" si="17"/>
        <v>1</v>
      </c>
      <c r="P174" t="str">
        <f t="shared" si="18"/>
        <v>6.6</v>
      </c>
      <c r="Q174" t="str">
        <f t="shared" si="19"/>
        <v>OK</v>
      </c>
      <c r="R174" t="b">
        <f t="shared" si="22"/>
        <v>1</v>
      </c>
      <c r="S174" t="str">
        <f t="shared" si="20"/>
        <v>High</v>
      </c>
      <c r="T174" t="str">
        <f t="shared" si="21"/>
        <v>7</v>
      </c>
      <c r="U174">
        <v>5.8</v>
      </c>
      <c r="V174" t="b">
        <f t="shared" si="23"/>
        <v>1</v>
      </c>
    </row>
    <row r="175" spans="1:22" x14ac:dyDescent="0.25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5.0999999999999996</v>
      </c>
      <c r="G175" t="s">
        <v>32</v>
      </c>
      <c r="H175" t="s">
        <v>23</v>
      </c>
      <c r="I175">
        <v>7.4</v>
      </c>
      <c r="J175">
        <v>7</v>
      </c>
      <c r="K175" t="s">
        <v>18</v>
      </c>
      <c r="L175">
        <v>2</v>
      </c>
      <c r="M175">
        <v>6</v>
      </c>
      <c r="N175" t="str">
        <f t="shared" si="16"/>
        <v>Facebook</v>
      </c>
      <c r="O175">
        <f t="shared" si="17"/>
        <v>0</v>
      </c>
      <c r="P175" t="str">
        <f t="shared" si="18"/>
        <v>7.4</v>
      </c>
      <c r="Q175" t="str">
        <f t="shared" si="19"/>
        <v>OK</v>
      </c>
      <c r="R175" t="str">
        <f t="shared" si="22"/>
        <v>medium</v>
      </c>
      <c r="S175" t="str">
        <f t="shared" si="20"/>
        <v>Medium</v>
      </c>
      <c r="T175" t="str">
        <f t="shared" si="21"/>
        <v>6</v>
      </c>
      <c r="U175">
        <v>5.8</v>
      </c>
      <c r="V175" t="b">
        <f t="shared" si="23"/>
        <v>1</v>
      </c>
    </row>
    <row r="176" spans="1:22" x14ac:dyDescent="0.25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5.7</v>
      </c>
      <c r="G176" t="s">
        <v>26</v>
      </c>
      <c r="H176" t="s">
        <v>17</v>
      </c>
      <c r="I176">
        <v>5.6</v>
      </c>
      <c r="J176">
        <v>6</v>
      </c>
      <c r="K176" t="s">
        <v>24</v>
      </c>
      <c r="L176">
        <v>4</v>
      </c>
      <c r="M176">
        <v>8</v>
      </c>
      <c r="N176" t="str">
        <f t="shared" si="16"/>
        <v>Tiktok</v>
      </c>
      <c r="O176">
        <f t="shared" si="17"/>
        <v>2</v>
      </c>
      <c r="P176" t="str">
        <f t="shared" si="18"/>
        <v>5.6</v>
      </c>
      <c r="Q176" t="str">
        <f t="shared" si="19"/>
        <v>OK</v>
      </c>
      <c r="R176" t="b">
        <f t="shared" si="22"/>
        <v>1</v>
      </c>
      <c r="S176" t="str">
        <f t="shared" si="20"/>
        <v>High</v>
      </c>
      <c r="T176" t="str">
        <f t="shared" si="21"/>
        <v>8</v>
      </c>
      <c r="U176">
        <v>5.8</v>
      </c>
      <c r="V176" t="b">
        <f t="shared" si="23"/>
        <v>1</v>
      </c>
    </row>
    <row r="177" spans="1:22" x14ac:dyDescent="0.25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4.5</v>
      </c>
      <c r="G177" t="s">
        <v>16</v>
      </c>
      <c r="H177" t="s">
        <v>17</v>
      </c>
      <c r="I177">
        <v>6.7</v>
      </c>
      <c r="J177">
        <v>5</v>
      </c>
      <c r="K177" t="s">
        <v>18</v>
      </c>
      <c r="L177">
        <v>3</v>
      </c>
      <c r="M177">
        <v>7</v>
      </c>
      <c r="N177" t="str">
        <f t="shared" si="16"/>
        <v>Instagram</v>
      </c>
      <c r="O177">
        <f t="shared" si="17"/>
        <v>1</v>
      </c>
      <c r="P177" t="str">
        <f t="shared" si="18"/>
        <v>6.7</v>
      </c>
      <c r="Q177" t="str">
        <f t="shared" si="19"/>
        <v>OK</v>
      </c>
      <c r="R177" t="b">
        <f t="shared" si="22"/>
        <v>1</v>
      </c>
      <c r="S177" t="str">
        <f t="shared" si="20"/>
        <v>High</v>
      </c>
      <c r="T177" t="str">
        <f t="shared" si="21"/>
        <v>7</v>
      </c>
      <c r="U177">
        <v>5.8</v>
      </c>
      <c r="V177" t="b">
        <f t="shared" si="23"/>
        <v>1</v>
      </c>
    </row>
    <row r="178" spans="1:22" x14ac:dyDescent="0.25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4.9000000000000004</v>
      </c>
      <c r="G178" t="s">
        <v>32</v>
      </c>
      <c r="H178" t="s">
        <v>23</v>
      </c>
      <c r="I178">
        <v>7.5</v>
      </c>
      <c r="J178">
        <v>7</v>
      </c>
      <c r="K178" t="s">
        <v>24</v>
      </c>
      <c r="L178">
        <v>2</v>
      </c>
      <c r="M178">
        <v>5</v>
      </c>
      <c r="N178" t="str">
        <f t="shared" si="16"/>
        <v>Facebook</v>
      </c>
      <c r="O178">
        <f t="shared" si="17"/>
        <v>0</v>
      </c>
      <c r="P178" t="str">
        <f t="shared" si="18"/>
        <v>7.5</v>
      </c>
      <c r="Q178" t="str">
        <f t="shared" si="19"/>
        <v>OK</v>
      </c>
      <c r="R178" t="str">
        <f t="shared" si="22"/>
        <v>medium</v>
      </c>
      <c r="S178" t="str">
        <f t="shared" si="20"/>
        <v>Medium</v>
      </c>
      <c r="T178" t="str">
        <f t="shared" si="21"/>
        <v>5</v>
      </c>
      <c r="U178">
        <v>5.8</v>
      </c>
      <c r="V178" t="b">
        <f t="shared" si="23"/>
        <v>1</v>
      </c>
    </row>
    <row r="179" spans="1:22" x14ac:dyDescent="0.25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5.2</v>
      </c>
      <c r="G179" t="s">
        <v>26</v>
      </c>
      <c r="H179" t="s">
        <v>17</v>
      </c>
      <c r="I179">
        <v>5.5</v>
      </c>
      <c r="J179">
        <v>6</v>
      </c>
      <c r="K179" t="s">
        <v>18</v>
      </c>
      <c r="L179">
        <v>4</v>
      </c>
      <c r="M179">
        <v>8</v>
      </c>
      <c r="N179" t="str">
        <f t="shared" si="16"/>
        <v>Tiktok</v>
      </c>
      <c r="O179">
        <f t="shared" si="17"/>
        <v>2</v>
      </c>
      <c r="P179" t="str">
        <f t="shared" si="18"/>
        <v>5.5</v>
      </c>
      <c r="Q179" t="str">
        <f t="shared" si="19"/>
        <v>OK</v>
      </c>
      <c r="R179" t="b">
        <f t="shared" si="22"/>
        <v>1</v>
      </c>
      <c r="S179" t="str">
        <f t="shared" si="20"/>
        <v>High</v>
      </c>
      <c r="T179" t="str">
        <f t="shared" si="21"/>
        <v>8</v>
      </c>
      <c r="U179">
        <v>5.8</v>
      </c>
      <c r="V179" t="b">
        <f t="shared" si="23"/>
        <v>1</v>
      </c>
    </row>
    <row r="180" spans="1:22" x14ac:dyDescent="0.25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4.7</v>
      </c>
      <c r="G180" t="s">
        <v>16</v>
      </c>
      <c r="H180" t="s">
        <v>17</v>
      </c>
      <c r="I180">
        <v>6.8</v>
      </c>
      <c r="J180">
        <v>5</v>
      </c>
      <c r="K180" t="s">
        <v>24</v>
      </c>
      <c r="L180">
        <v>3</v>
      </c>
      <c r="M180">
        <v>7</v>
      </c>
      <c r="N180" t="str">
        <f t="shared" si="16"/>
        <v>Instagram</v>
      </c>
      <c r="O180">
        <f t="shared" si="17"/>
        <v>1</v>
      </c>
      <c r="P180" t="str">
        <f t="shared" si="18"/>
        <v>6.8</v>
      </c>
      <c r="Q180" t="str">
        <f t="shared" si="19"/>
        <v>OK</v>
      </c>
      <c r="R180" t="b">
        <f t="shared" si="22"/>
        <v>1</v>
      </c>
      <c r="S180" t="str">
        <f t="shared" si="20"/>
        <v>High</v>
      </c>
      <c r="T180" t="str">
        <f t="shared" si="21"/>
        <v>7</v>
      </c>
      <c r="U180">
        <v>5.8</v>
      </c>
      <c r="V180" t="b">
        <f t="shared" si="23"/>
        <v>1</v>
      </c>
    </row>
    <row r="181" spans="1:22" x14ac:dyDescent="0.25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5</v>
      </c>
      <c r="G181" t="s">
        <v>32</v>
      </c>
      <c r="H181" t="s">
        <v>23</v>
      </c>
      <c r="I181">
        <v>7.6</v>
      </c>
      <c r="J181">
        <v>7</v>
      </c>
      <c r="K181" t="s">
        <v>18</v>
      </c>
      <c r="L181">
        <v>2</v>
      </c>
      <c r="M181">
        <v>6</v>
      </c>
      <c r="N181" t="str">
        <f t="shared" si="16"/>
        <v>Facebook</v>
      </c>
      <c r="O181">
        <f t="shared" si="17"/>
        <v>0</v>
      </c>
      <c r="P181" t="str">
        <f t="shared" si="18"/>
        <v>7.6</v>
      </c>
      <c r="Q181" t="str">
        <f t="shared" si="19"/>
        <v>OK</v>
      </c>
      <c r="R181" t="str">
        <f t="shared" si="22"/>
        <v>medium</v>
      </c>
      <c r="S181" t="str">
        <f t="shared" si="20"/>
        <v>Medium</v>
      </c>
      <c r="T181" t="str">
        <f t="shared" si="21"/>
        <v>6</v>
      </c>
      <c r="U181">
        <v>5.8</v>
      </c>
      <c r="V181" t="b">
        <f t="shared" si="23"/>
        <v>1</v>
      </c>
    </row>
    <row r="182" spans="1:22" x14ac:dyDescent="0.25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5.8</v>
      </c>
      <c r="G182" t="s">
        <v>26</v>
      </c>
      <c r="H182" t="s">
        <v>17</v>
      </c>
      <c r="I182">
        <v>5.4</v>
      </c>
      <c r="J182">
        <v>6</v>
      </c>
      <c r="K182" t="s">
        <v>24</v>
      </c>
      <c r="L182">
        <v>4</v>
      </c>
      <c r="M182">
        <v>8</v>
      </c>
      <c r="N182" t="str">
        <f t="shared" si="16"/>
        <v>Tiktok</v>
      </c>
      <c r="O182">
        <f t="shared" si="17"/>
        <v>2</v>
      </c>
      <c r="P182" t="str">
        <f t="shared" si="18"/>
        <v>5.4</v>
      </c>
      <c r="Q182" t="str">
        <f t="shared" si="19"/>
        <v>OK</v>
      </c>
      <c r="R182" t="b">
        <f t="shared" si="22"/>
        <v>1</v>
      </c>
      <c r="S182" t="str">
        <f t="shared" si="20"/>
        <v>High</v>
      </c>
      <c r="T182" t="str">
        <f t="shared" si="21"/>
        <v>8</v>
      </c>
      <c r="U182">
        <v>5.8</v>
      </c>
      <c r="V182" t="b">
        <f t="shared" si="23"/>
        <v>1</v>
      </c>
    </row>
    <row r="183" spans="1:22" x14ac:dyDescent="0.25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4.4000000000000004</v>
      </c>
      <c r="G183" t="s">
        <v>16</v>
      </c>
      <c r="H183" t="s">
        <v>17</v>
      </c>
      <c r="I183">
        <v>6.9</v>
      </c>
      <c r="J183">
        <v>5</v>
      </c>
      <c r="K183" t="s">
        <v>18</v>
      </c>
      <c r="L183">
        <v>3</v>
      </c>
      <c r="M183">
        <v>7</v>
      </c>
      <c r="N183" t="str">
        <f t="shared" si="16"/>
        <v>Instagram</v>
      </c>
      <c r="O183">
        <f t="shared" si="17"/>
        <v>1</v>
      </c>
      <c r="P183" t="str">
        <f t="shared" si="18"/>
        <v>6.9</v>
      </c>
      <c r="Q183" t="str">
        <f t="shared" si="19"/>
        <v>OK</v>
      </c>
      <c r="R183" t="b">
        <f t="shared" si="22"/>
        <v>1</v>
      </c>
      <c r="S183" t="str">
        <f t="shared" si="20"/>
        <v>High</v>
      </c>
      <c r="T183" t="str">
        <f t="shared" si="21"/>
        <v>7</v>
      </c>
      <c r="U183">
        <v>5.7</v>
      </c>
      <c r="V183" t="b">
        <f t="shared" si="23"/>
        <v>1</v>
      </c>
    </row>
    <row r="184" spans="1:22" x14ac:dyDescent="0.25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4.8</v>
      </c>
      <c r="G184" t="s">
        <v>32</v>
      </c>
      <c r="H184" t="s">
        <v>23</v>
      </c>
      <c r="I184">
        <v>7.7</v>
      </c>
      <c r="J184">
        <v>7</v>
      </c>
      <c r="K184" t="s">
        <v>24</v>
      </c>
      <c r="L184">
        <v>2</v>
      </c>
      <c r="M184">
        <v>5</v>
      </c>
      <c r="N184" t="str">
        <f t="shared" si="16"/>
        <v>Facebook</v>
      </c>
      <c r="O184">
        <f t="shared" si="17"/>
        <v>0</v>
      </c>
      <c r="P184" t="str">
        <f t="shared" si="18"/>
        <v>7.7</v>
      </c>
      <c r="Q184" t="str">
        <f t="shared" si="19"/>
        <v>OK</v>
      </c>
      <c r="R184" t="str">
        <f t="shared" si="22"/>
        <v>medium</v>
      </c>
      <c r="S184" t="str">
        <f t="shared" si="20"/>
        <v>Medium</v>
      </c>
      <c r="T184" t="str">
        <f t="shared" si="21"/>
        <v>5</v>
      </c>
      <c r="U184">
        <v>5.7</v>
      </c>
      <c r="V184" t="b">
        <f t="shared" si="23"/>
        <v>1</v>
      </c>
    </row>
    <row r="185" spans="1:22" x14ac:dyDescent="0.25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5.0999999999999996</v>
      </c>
      <c r="G185" t="s">
        <v>26</v>
      </c>
      <c r="H185" t="s">
        <v>17</v>
      </c>
      <c r="I185">
        <v>5.3</v>
      </c>
      <c r="J185">
        <v>6</v>
      </c>
      <c r="K185" t="s">
        <v>18</v>
      </c>
      <c r="L185">
        <v>4</v>
      </c>
      <c r="M185">
        <v>8</v>
      </c>
      <c r="N185" t="str">
        <f t="shared" si="16"/>
        <v>Tiktok</v>
      </c>
      <c r="O185">
        <f t="shared" si="17"/>
        <v>2</v>
      </c>
      <c r="P185" t="str">
        <f t="shared" si="18"/>
        <v>5.3</v>
      </c>
      <c r="Q185" t="str">
        <f t="shared" si="19"/>
        <v>OK</v>
      </c>
      <c r="R185" t="b">
        <f t="shared" si="22"/>
        <v>1</v>
      </c>
      <c r="S185" t="str">
        <f t="shared" si="20"/>
        <v>High</v>
      </c>
      <c r="T185" t="str">
        <f t="shared" si="21"/>
        <v>8</v>
      </c>
      <c r="U185">
        <v>5.7</v>
      </c>
      <c r="V185" t="b">
        <f t="shared" si="23"/>
        <v>1</v>
      </c>
    </row>
    <row r="186" spans="1:22" x14ac:dyDescent="0.25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4.5999999999999996</v>
      </c>
      <c r="G186" t="s">
        <v>16</v>
      </c>
      <c r="H186" t="s">
        <v>17</v>
      </c>
      <c r="I186">
        <v>7</v>
      </c>
      <c r="J186">
        <v>5</v>
      </c>
      <c r="K186" t="s">
        <v>24</v>
      </c>
      <c r="L186">
        <v>3</v>
      </c>
      <c r="M186">
        <v>7</v>
      </c>
      <c r="N186" t="str">
        <f t="shared" si="16"/>
        <v>Instagram</v>
      </c>
      <c r="O186">
        <f t="shared" si="17"/>
        <v>1</v>
      </c>
      <c r="P186" t="str">
        <f t="shared" si="18"/>
        <v>7</v>
      </c>
      <c r="Q186" t="str">
        <f t="shared" si="19"/>
        <v>OK</v>
      </c>
      <c r="R186" t="b">
        <f t="shared" si="22"/>
        <v>1</v>
      </c>
      <c r="S186" t="str">
        <f t="shared" si="20"/>
        <v>High</v>
      </c>
      <c r="T186" t="str">
        <f t="shared" si="21"/>
        <v>7</v>
      </c>
      <c r="U186">
        <v>5.7</v>
      </c>
      <c r="V186" t="b">
        <f t="shared" si="23"/>
        <v>1</v>
      </c>
    </row>
    <row r="187" spans="1:22" x14ac:dyDescent="0.25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4.9000000000000004</v>
      </c>
      <c r="G187" t="s">
        <v>32</v>
      </c>
      <c r="H187" t="s">
        <v>23</v>
      </c>
      <c r="I187">
        <v>7.8</v>
      </c>
      <c r="J187">
        <v>7</v>
      </c>
      <c r="K187" t="s">
        <v>18</v>
      </c>
      <c r="L187">
        <v>2</v>
      </c>
      <c r="M187">
        <v>6</v>
      </c>
      <c r="N187" t="str">
        <f t="shared" si="16"/>
        <v>Facebook</v>
      </c>
      <c r="O187">
        <f t="shared" si="17"/>
        <v>0</v>
      </c>
      <c r="P187" t="str">
        <f t="shared" si="18"/>
        <v>7.8</v>
      </c>
      <c r="Q187" t="str">
        <f t="shared" si="19"/>
        <v>OK</v>
      </c>
      <c r="R187" t="str">
        <f t="shared" si="22"/>
        <v>medium</v>
      </c>
      <c r="S187" t="str">
        <f t="shared" si="20"/>
        <v>Medium</v>
      </c>
      <c r="T187" t="str">
        <f t="shared" si="21"/>
        <v>6</v>
      </c>
      <c r="U187">
        <v>5.7</v>
      </c>
      <c r="V187" t="b">
        <f t="shared" si="23"/>
        <v>1</v>
      </c>
    </row>
    <row r="188" spans="1:22" x14ac:dyDescent="0.25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5.9</v>
      </c>
      <c r="G188" t="s">
        <v>26</v>
      </c>
      <c r="H188" t="s">
        <v>17</v>
      </c>
      <c r="I188">
        <v>5.2</v>
      </c>
      <c r="J188">
        <v>6</v>
      </c>
      <c r="K188" t="s">
        <v>24</v>
      </c>
      <c r="L188">
        <v>4</v>
      </c>
      <c r="M188">
        <v>8</v>
      </c>
      <c r="N188" t="str">
        <f t="shared" si="16"/>
        <v>Tiktok</v>
      </c>
      <c r="O188">
        <f t="shared" si="17"/>
        <v>2</v>
      </c>
      <c r="P188" t="str">
        <f t="shared" si="18"/>
        <v>5.2</v>
      </c>
      <c r="Q188" t="str">
        <f t="shared" si="19"/>
        <v>OK</v>
      </c>
      <c r="R188" t="b">
        <f t="shared" si="22"/>
        <v>1</v>
      </c>
      <c r="S188" t="str">
        <f t="shared" si="20"/>
        <v>High</v>
      </c>
      <c r="T188" t="str">
        <f t="shared" si="21"/>
        <v>8</v>
      </c>
      <c r="U188">
        <v>5.7</v>
      </c>
      <c r="V188" t="b">
        <f t="shared" si="23"/>
        <v>1</v>
      </c>
    </row>
    <row r="189" spans="1:22" x14ac:dyDescent="0.25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4.3</v>
      </c>
      <c r="G189" t="s">
        <v>16</v>
      </c>
      <c r="H189" t="s">
        <v>17</v>
      </c>
      <c r="I189">
        <v>7.1</v>
      </c>
      <c r="J189">
        <v>5</v>
      </c>
      <c r="K189" t="s">
        <v>18</v>
      </c>
      <c r="L189">
        <v>3</v>
      </c>
      <c r="M189">
        <v>7</v>
      </c>
      <c r="N189" t="str">
        <f t="shared" si="16"/>
        <v>Instagram</v>
      </c>
      <c r="O189">
        <f t="shared" si="17"/>
        <v>1</v>
      </c>
      <c r="P189" t="str">
        <f t="shared" si="18"/>
        <v>7.1</v>
      </c>
      <c r="Q189" t="str">
        <f t="shared" si="19"/>
        <v>OK</v>
      </c>
      <c r="R189" t="b">
        <f t="shared" si="22"/>
        <v>1</v>
      </c>
      <c r="S189" t="str">
        <f t="shared" si="20"/>
        <v>High</v>
      </c>
      <c r="T189" t="str">
        <f t="shared" si="21"/>
        <v>7</v>
      </c>
      <c r="U189">
        <v>5.7</v>
      </c>
      <c r="V189" t="b">
        <f t="shared" si="23"/>
        <v>1</v>
      </c>
    </row>
    <row r="190" spans="1:22" x14ac:dyDescent="0.25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4.7</v>
      </c>
      <c r="G190" t="s">
        <v>32</v>
      </c>
      <c r="H190" t="s">
        <v>23</v>
      </c>
      <c r="I190">
        <v>7.9</v>
      </c>
      <c r="J190">
        <v>7</v>
      </c>
      <c r="K190" t="s">
        <v>24</v>
      </c>
      <c r="L190">
        <v>2</v>
      </c>
      <c r="M190">
        <v>5</v>
      </c>
      <c r="N190" t="str">
        <f t="shared" si="16"/>
        <v>Facebook</v>
      </c>
      <c r="O190">
        <f t="shared" si="17"/>
        <v>0</v>
      </c>
      <c r="P190" t="str">
        <f t="shared" si="18"/>
        <v>7.9</v>
      </c>
      <c r="Q190" t="str">
        <f t="shared" si="19"/>
        <v>OK</v>
      </c>
      <c r="R190" t="str">
        <f t="shared" si="22"/>
        <v>medium</v>
      </c>
      <c r="S190" t="str">
        <f t="shared" si="20"/>
        <v>Medium</v>
      </c>
      <c r="T190" t="str">
        <f t="shared" si="21"/>
        <v>5</v>
      </c>
      <c r="U190">
        <v>5.7</v>
      </c>
      <c r="V190" t="b">
        <f t="shared" si="23"/>
        <v>1</v>
      </c>
    </row>
    <row r="191" spans="1:22" x14ac:dyDescent="0.25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</v>
      </c>
      <c r="G191" t="s">
        <v>26</v>
      </c>
      <c r="H191" t="s">
        <v>17</v>
      </c>
      <c r="I191">
        <v>5.0999999999999996</v>
      </c>
      <c r="J191">
        <v>6</v>
      </c>
      <c r="K191" t="s">
        <v>18</v>
      </c>
      <c r="L191">
        <v>4</v>
      </c>
      <c r="M191">
        <v>8</v>
      </c>
      <c r="N191" t="str">
        <f t="shared" si="16"/>
        <v>Tiktok</v>
      </c>
      <c r="O191">
        <f t="shared" si="17"/>
        <v>2</v>
      </c>
      <c r="P191" t="str">
        <f t="shared" si="18"/>
        <v>5.1</v>
      </c>
      <c r="Q191" t="str">
        <f t="shared" si="19"/>
        <v>OK</v>
      </c>
      <c r="R191" t="b">
        <f t="shared" si="22"/>
        <v>1</v>
      </c>
      <c r="S191" t="str">
        <f t="shared" si="20"/>
        <v>High</v>
      </c>
      <c r="T191" t="str">
        <f t="shared" si="21"/>
        <v>8</v>
      </c>
      <c r="U191">
        <v>5.7</v>
      </c>
      <c r="V191" t="b">
        <f t="shared" si="23"/>
        <v>1</v>
      </c>
    </row>
    <row r="192" spans="1:22" x14ac:dyDescent="0.25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4.5</v>
      </c>
      <c r="G192" t="s">
        <v>16</v>
      </c>
      <c r="H192" t="s">
        <v>17</v>
      </c>
      <c r="I192">
        <v>7.2</v>
      </c>
      <c r="J192">
        <v>5</v>
      </c>
      <c r="K192" t="s">
        <v>24</v>
      </c>
      <c r="L192">
        <v>3</v>
      </c>
      <c r="M192">
        <v>7</v>
      </c>
      <c r="N192" t="str">
        <f t="shared" si="16"/>
        <v>Instagram</v>
      </c>
      <c r="O192">
        <f t="shared" si="17"/>
        <v>1</v>
      </c>
      <c r="P192" t="str">
        <f t="shared" si="18"/>
        <v>7.2</v>
      </c>
      <c r="Q192" t="str">
        <f t="shared" si="19"/>
        <v>OK</v>
      </c>
      <c r="R192" t="b">
        <f t="shared" si="22"/>
        <v>1</v>
      </c>
      <c r="S192" t="str">
        <f t="shared" si="20"/>
        <v>High</v>
      </c>
      <c r="T192" t="str">
        <f t="shared" si="21"/>
        <v>7</v>
      </c>
      <c r="U192">
        <v>5.7</v>
      </c>
      <c r="V192" t="b">
        <f t="shared" si="23"/>
        <v>1</v>
      </c>
    </row>
    <row r="193" spans="1:22" x14ac:dyDescent="0.25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4.8</v>
      </c>
      <c r="G193" t="s">
        <v>32</v>
      </c>
      <c r="H193" t="s">
        <v>23</v>
      </c>
      <c r="I193">
        <v>8</v>
      </c>
      <c r="J193">
        <v>7</v>
      </c>
      <c r="K193" t="s">
        <v>18</v>
      </c>
      <c r="L193">
        <v>2</v>
      </c>
      <c r="M193">
        <v>6</v>
      </c>
      <c r="N193" t="str">
        <f t="shared" si="16"/>
        <v>Facebook</v>
      </c>
      <c r="O193">
        <f t="shared" si="17"/>
        <v>0</v>
      </c>
      <c r="P193" t="str">
        <f t="shared" si="18"/>
        <v>8</v>
      </c>
      <c r="Q193" t="str">
        <f t="shared" si="19"/>
        <v>OK</v>
      </c>
      <c r="R193" t="str">
        <f t="shared" si="22"/>
        <v>medium</v>
      </c>
      <c r="S193" t="str">
        <f t="shared" si="20"/>
        <v>Medium</v>
      </c>
      <c r="T193" t="str">
        <f t="shared" si="21"/>
        <v>6</v>
      </c>
      <c r="U193">
        <v>5.7</v>
      </c>
      <c r="V193" t="b">
        <f t="shared" si="23"/>
        <v>1</v>
      </c>
    </row>
    <row r="194" spans="1:22" x14ac:dyDescent="0.25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6</v>
      </c>
      <c r="G194" t="s">
        <v>26</v>
      </c>
      <c r="H194" t="s">
        <v>17</v>
      </c>
      <c r="I194">
        <v>5</v>
      </c>
      <c r="J194">
        <v>6</v>
      </c>
      <c r="K194" t="s">
        <v>24</v>
      </c>
      <c r="L194">
        <v>4</v>
      </c>
      <c r="M194">
        <v>8</v>
      </c>
      <c r="N194" t="str">
        <f t="shared" ref="N194:N257" si="24">PROPER(G194)</f>
        <v>Tiktok</v>
      </c>
      <c r="O194">
        <f t="shared" ref="O194:O257" si="25">LEN(G194)-LEN(SUBSTITUTE(UPPER(G194),"T",""))</f>
        <v>2</v>
      </c>
      <c r="P194" t="str">
        <f t="shared" ref="P194:P257" si="26">PROPER(I194)</f>
        <v>5</v>
      </c>
      <c r="Q194" t="str">
        <f t="shared" ref="Q194:Q257" si="27">(IF(I194&gt;=5,"OK",IF(I194&lt;5,"LESS SLEEP")))</f>
        <v>OK</v>
      </c>
      <c r="R194" t="b">
        <f t="shared" si="22"/>
        <v>1</v>
      </c>
      <c r="S194" t="str">
        <f t="shared" ref="S194:S257" si="28">IF(M194&gt;=7,"High",IF(AND(M194&gt;4,M194&lt;7),"Medium","Low"))</f>
        <v>High</v>
      </c>
      <c r="T194" t="str">
        <f t="shared" ref="T194:T257" si="29">PROPER(M194)</f>
        <v>8</v>
      </c>
      <c r="U194">
        <v>5.7</v>
      </c>
      <c r="V194" t="b">
        <f t="shared" si="23"/>
        <v>1</v>
      </c>
    </row>
    <row r="195" spans="1:22" x14ac:dyDescent="0.25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4.2</v>
      </c>
      <c r="G195" t="s">
        <v>16</v>
      </c>
      <c r="H195" t="s">
        <v>17</v>
      </c>
      <c r="I195">
        <v>7.3</v>
      </c>
      <c r="J195">
        <v>5</v>
      </c>
      <c r="K195" t="s">
        <v>18</v>
      </c>
      <c r="L195">
        <v>3</v>
      </c>
      <c r="M195">
        <v>7</v>
      </c>
      <c r="N195" t="str">
        <f t="shared" si="24"/>
        <v>Instagram</v>
      </c>
      <c r="O195">
        <f t="shared" si="25"/>
        <v>1</v>
      </c>
      <c r="P195" t="str">
        <f t="shared" si="26"/>
        <v>7.3</v>
      </c>
      <c r="Q195" t="str">
        <f t="shared" si="27"/>
        <v>OK</v>
      </c>
      <c r="R195" t="b">
        <f t="shared" si="22"/>
        <v>1</v>
      </c>
      <c r="S195" t="str">
        <f t="shared" si="28"/>
        <v>High</v>
      </c>
      <c r="T195" t="str">
        <f t="shared" si="29"/>
        <v>7</v>
      </c>
      <c r="U195">
        <v>5.7</v>
      </c>
      <c r="V195" t="b">
        <f t="shared" si="23"/>
        <v>1</v>
      </c>
    </row>
    <row r="196" spans="1:22" x14ac:dyDescent="0.25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4.5999999999999996</v>
      </c>
      <c r="G196" t="s">
        <v>32</v>
      </c>
      <c r="H196" t="s">
        <v>23</v>
      </c>
      <c r="I196">
        <v>8.1</v>
      </c>
      <c r="J196">
        <v>7</v>
      </c>
      <c r="K196" t="s">
        <v>24</v>
      </c>
      <c r="L196">
        <v>2</v>
      </c>
      <c r="M196">
        <v>5</v>
      </c>
      <c r="N196" t="str">
        <f t="shared" si="24"/>
        <v>Facebook</v>
      </c>
      <c r="O196">
        <f t="shared" si="25"/>
        <v>0</v>
      </c>
      <c r="P196" t="str">
        <f t="shared" si="26"/>
        <v>8.1</v>
      </c>
      <c r="Q196" t="str">
        <f t="shared" si="27"/>
        <v>OK</v>
      </c>
      <c r="R196" t="str">
        <f t="shared" ref="R196:R259" si="30">IF(M196&gt;=7,"High"&amp;M196&gt;=4,"medium")</f>
        <v>medium</v>
      </c>
      <c r="S196" t="str">
        <f t="shared" si="28"/>
        <v>Medium</v>
      </c>
      <c r="T196" t="str">
        <f t="shared" si="29"/>
        <v>5</v>
      </c>
      <c r="U196">
        <v>5.7</v>
      </c>
      <c r="V196" t="b">
        <f t="shared" ref="V196:V259" si="31">IF(Q196&gt;=7,"High"&amp;Q196&gt;=4,"medium")</f>
        <v>1</v>
      </c>
    </row>
    <row r="197" spans="1:22" x14ac:dyDescent="0.25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4.9000000000000004</v>
      </c>
      <c r="G197" t="s">
        <v>26</v>
      </c>
      <c r="H197" t="s">
        <v>17</v>
      </c>
      <c r="I197">
        <v>4.9000000000000004</v>
      </c>
      <c r="J197">
        <v>6</v>
      </c>
      <c r="K197" t="s">
        <v>18</v>
      </c>
      <c r="L197">
        <v>4</v>
      </c>
      <c r="M197">
        <v>8</v>
      </c>
      <c r="N197" t="str">
        <f t="shared" si="24"/>
        <v>Tiktok</v>
      </c>
      <c r="O197">
        <f t="shared" si="25"/>
        <v>2</v>
      </c>
      <c r="P197" t="str">
        <f t="shared" si="26"/>
        <v>4.9</v>
      </c>
      <c r="Q197" t="str">
        <f t="shared" si="27"/>
        <v>LESS SLEEP</v>
      </c>
      <c r="R197" t="b">
        <f t="shared" si="30"/>
        <v>1</v>
      </c>
      <c r="S197" t="str">
        <f t="shared" si="28"/>
        <v>High</v>
      </c>
      <c r="T197" t="str">
        <f t="shared" si="29"/>
        <v>8</v>
      </c>
      <c r="U197">
        <v>5.7</v>
      </c>
      <c r="V197" t="b">
        <f t="shared" si="31"/>
        <v>1</v>
      </c>
    </row>
    <row r="198" spans="1:22" x14ac:dyDescent="0.25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4.4000000000000004</v>
      </c>
      <c r="G198" t="s">
        <v>16</v>
      </c>
      <c r="H198" t="s">
        <v>17</v>
      </c>
      <c r="I198">
        <v>7.4</v>
      </c>
      <c r="J198">
        <v>5</v>
      </c>
      <c r="K198" t="s">
        <v>24</v>
      </c>
      <c r="L198">
        <v>3</v>
      </c>
      <c r="M198">
        <v>7</v>
      </c>
      <c r="N198" t="str">
        <f t="shared" si="24"/>
        <v>Instagram</v>
      </c>
      <c r="O198">
        <f t="shared" si="25"/>
        <v>1</v>
      </c>
      <c r="P198" t="str">
        <f t="shared" si="26"/>
        <v>7.4</v>
      </c>
      <c r="Q198" t="str">
        <f t="shared" si="27"/>
        <v>OK</v>
      </c>
      <c r="R198" t="b">
        <f t="shared" si="30"/>
        <v>1</v>
      </c>
      <c r="S198" t="str">
        <f t="shared" si="28"/>
        <v>High</v>
      </c>
      <c r="T198" t="str">
        <f t="shared" si="29"/>
        <v>7</v>
      </c>
      <c r="U198">
        <v>5.7</v>
      </c>
      <c r="V198" t="b">
        <f t="shared" si="31"/>
        <v>1</v>
      </c>
    </row>
    <row r="199" spans="1:22" x14ac:dyDescent="0.25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4.7</v>
      </c>
      <c r="G199" t="s">
        <v>32</v>
      </c>
      <c r="H199" t="s">
        <v>23</v>
      </c>
      <c r="I199">
        <v>8.1999999999999993</v>
      </c>
      <c r="J199">
        <v>7</v>
      </c>
      <c r="K199" t="s">
        <v>18</v>
      </c>
      <c r="L199">
        <v>2</v>
      </c>
      <c r="M199">
        <v>6</v>
      </c>
      <c r="N199" t="str">
        <f t="shared" si="24"/>
        <v>Facebook</v>
      </c>
      <c r="O199">
        <f t="shared" si="25"/>
        <v>0</v>
      </c>
      <c r="P199" t="str">
        <f t="shared" si="26"/>
        <v>8.2</v>
      </c>
      <c r="Q199" t="str">
        <f t="shared" si="27"/>
        <v>OK</v>
      </c>
      <c r="R199" t="str">
        <f t="shared" si="30"/>
        <v>medium</v>
      </c>
      <c r="S199" t="str">
        <f t="shared" si="28"/>
        <v>Medium</v>
      </c>
      <c r="T199" t="str">
        <f t="shared" si="29"/>
        <v>6</v>
      </c>
      <c r="U199">
        <v>5.7</v>
      </c>
      <c r="V199" t="b">
        <f t="shared" si="31"/>
        <v>1</v>
      </c>
    </row>
    <row r="200" spans="1:22" x14ac:dyDescent="0.25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6.1</v>
      </c>
      <c r="G200" t="s">
        <v>26</v>
      </c>
      <c r="H200" t="s">
        <v>17</v>
      </c>
      <c r="I200">
        <v>4.8</v>
      </c>
      <c r="J200">
        <v>6</v>
      </c>
      <c r="K200" t="s">
        <v>24</v>
      </c>
      <c r="L200">
        <v>4</v>
      </c>
      <c r="M200">
        <v>8</v>
      </c>
      <c r="N200" t="str">
        <f t="shared" si="24"/>
        <v>Tiktok</v>
      </c>
      <c r="O200">
        <f t="shared" si="25"/>
        <v>2</v>
      </c>
      <c r="P200" t="str">
        <f t="shared" si="26"/>
        <v>4.8</v>
      </c>
      <c r="Q200" t="str">
        <f t="shared" si="27"/>
        <v>LESS SLEEP</v>
      </c>
      <c r="R200" t="b">
        <f t="shared" si="30"/>
        <v>1</v>
      </c>
      <c r="S200" t="str">
        <f t="shared" si="28"/>
        <v>High</v>
      </c>
      <c r="T200" t="str">
        <f t="shared" si="29"/>
        <v>8</v>
      </c>
      <c r="U200">
        <v>5.7</v>
      </c>
      <c r="V200" t="b">
        <f t="shared" si="31"/>
        <v>1</v>
      </c>
    </row>
    <row r="201" spans="1:22" x14ac:dyDescent="0.25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4.0999999999999996</v>
      </c>
      <c r="G201" t="s">
        <v>16</v>
      </c>
      <c r="H201" t="s">
        <v>17</v>
      </c>
      <c r="I201">
        <v>7.5</v>
      </c>
      <c r="J201">
        <v>5</v>
      </c>
      <c r="K201" t="s">
        <v>18</v>
      </c>
      <c r="L201">
        <v>3</v>
      </c>
      <c r="M201">
        <v>7</v>
      </c>
      <c r="N201" t="str">
        <f t="shared" si="24"/>
        <v>Instagram</v>
      </c>
      <c r="O201">
        <f t="shared" si="25"/>
        <v>1</v>
      </c>
      <c r="P201" t="str">
        <f t="shared" si="26"/>
        <v>7.5</v>
      </c>
      <c r="Q201" t="str">
        <f t="shared" si="27"/>
        <v>OK</v>
      </c>
      <c r="R201" t="b">
        <f t="shared" si="30"/>
        <v>1</v>
      </c>
      <c r="S201" t="str">
        <f t="shared" si="28"/>
        <v>High</v>
      </c>
      <c r="T201" t="str">
        <f t="shared" si="29"/>
        <v>7</v>
      </c>
      <c r="U201">
        <v>5.7</v>
      </c>
      <c r="V201" t="b">
        <f t="shared" si="31"/>
        <v>1</v>
      </c>
    </row>
    <row r="202" spans="1:22" x14ac:dyDescent="0.25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4.5</v>
      </c>
      <c r="G202" t="s">
        <v>32</v>
      </c>
      <c r="H202" t="s">
        <v>23</v>
      </c>
      <c r="I202">
        <v>8.3000000000000007</v>
      </c>
      <c r="J202">
        <v>7</v>
      </c>
      <c r="K202" t="s">
        <v>24</v>
      </c>
      <c r="L202">
        <v>2</v>
      </c>
      <c r="M202">
        <v>5</v>
      </c>
      <c r="N202" t="str">
        <f t="shared" si="24"/>
        <v>Facebook</v>
      </c>
      <c r="O202">
        <f t="shared" si="25"/>
        <v>0</v>
      </c>
      <c r="P202" t="str">
        <f t="shared" si="26"/>
        <v>8.3</v>
      </c>
      <c r="Q202" t="str">
        <f t="shared" si="27"/>
        <v>OK</v>
      </c>
      <c r="R202" t="str">
        <f t="shared" si="30"/>
        <v>medium</v>
      </c>
      <c r="S202" t="str">
        <f t="shared" si="28"/>
        <v>Medium</v>
      </c>
      <c r="T202" t="str">
        <f t="shared" si="29"/>
        <v>5</v>
      </c>
      <c r="U202">
        <v>5.6</v>
      </c>
      <c r="V202" t="b">
        <f t="shared" si="31"/>
        <v>1</v>
      </c>
    </row>
    <row r="203" spans="1:22" x14ac:dyDescent="0.25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4.8</v>
      </c>
      <c r="G203" t="s">
        <v>26</v>
      </c>
      <c r="H203" t="s">
        <v>17</v>
      </c>
      <c r="I203">
        <v>4.7</v>
      </c>
      <c r="J203">
        <v>6</v>
      </c>
      <c r="K203" t="s">
        <v>18</v>
      </c>
      <c r="L203">
        <v>4</v>
      </c>
      <c r="M203">
        <v>8</v>
      </c>
      <c r="N203" t="str">
        <f t="shared" si="24"/>
        <v>Tiktok</v>
      </c>
      <c r="O203">
        <f t="shared" si="25"/>
        <v>2</v>
      </c>
      <c r="P203" t="str">
        <f t="shared" si="26"/>
        <v>4.7</v>
      </c>
      <c r="Q203" t="str">
        <f t="shared" si="27"/>
        <v>LESS SLEEP</v>
      </c>
      <c r="R203" t="b">
        <f t="shared" si="30"/>
        <v>1</v>
      </c>
      <c r="S203" t="str">
        <f t="shared" si="28"/>
        <v>High</v>
      </c>
      <c r="T203" t="str">
        <f t="shared" si="29"/>
        <v>8</v>
      </c>
      <c r="U203">
        <v>5.6</v>
      </c>
      <c r="V203" t="b">
        <f t="shared" si="31"/>
        <v>1</v>
      </c>
    </row>
    <row r="204" spans="1:22" x14ac:dyDescent="0.25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4.3</v>
      </c>
      <c r="G204" t="s">
        <v>16</v>
      </c>
      <c r="H204" t="s">
        <v>17</v>
      </c>
      <c r="I204">
        <v>7.6</v>
      </c>
      <c r="J204">
        <v>5</v>
      </c>
      <c r="K204" t="s">
        <v>24</v>
      </c>
      <c r="L204">
        <v>3</v>
      </c>
      <c r="M204">
        <v>7</v>
      </c>
      <c r="N204" t="str">
        <f t="shared" si="24"/>
        <v>Instagram</v>
      </c>
      <c r="O204">
        <f t="shared" si="25"/>
        <v>1</v>
      </c>
      <c r="P204" t="str">
        <f t="shared" si="26"/>
        <v>7.6</v>
      </c>
      <c r="Q204" t="str">
        <f t="shared" si="27"/>
        <v>OK</v>
      </c>
      <c r="R204" t="b">
        <f t="shared" si="30"/>
        <v>1</v>
      </c>
      <c r="S204" t="str">
        <f t="shared" si="28"/>
        <v>High</v>
      </c>
      <c r="T204" t="str">
        <f t="shared" si="29"/>
        <v>7</v>
      </c>
      <c r="U204">
        <v>5.6</v>
      </c>
      <c r="V204" t="b">
        <f t="shared" si="31"/>
        <v>1</v>
      </c>
    </row>
    <row r="205" spans="1:22" x14ac:dyDescent="0.25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4.5999999999999996</v>
      </c>
      <c r="G205" t="s">
        <v>32</v>
      </c>
      <c r="H205" t="s">
        <v>23</v>
      </c>
      <c r="I205">
        <v>8.4</v>
      </c>
      <c r="J205">
        <v>7</v>
      </c>
      <c r="K205" t="s">
        <v>18</v>
      </c>
      <c r="L205">
        <v>2</v>
      </c>
      <c r="M205">
        <v>6</v>
      </c>
      <c r="N205" t="str">
        <f t="shared" si="24"/>
        <v>Facebook</v>
      </c>
      <c r="O205">
        <f t="shared" si="25"/>
        <v>0</v>
      </c>
      <c r="P205" t="str">
        <f t="shared" si="26"/>
        <v>8.4</v>
      </c>
      <c r="Q205" t="str">
        <f t="shared" si="27"/>
        <v>OK</v>
      </c>
      <c r="R205" t="str">
        <f t="shared" si="30"/>
        <v>medium</v>
      </c>
      <c r="S205" t="str">
        <f t="shared" si="28"/>
        <v>Medium</v>
      </c>
      <c r="T205" t="str">
        <f t="shared" si="29"/>
        <v>6</v>
      </c>
      <c r="U205">
        <v>5.6</v>
      </c>
      <c r="V205" t="b">
        <f t="shared" si="31"/>
        <v>1</v>
      </c>
    </row>
    <row r="206" spans="1:22" x14ac:dyDescent="0.25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6.2</v>
      </c>
      <c r="G206" t="s">
        <v>26</v>
      </c>
      <c r="H206" t="s">
        <v>17</v>
      </c>
      <c r="I206">
        <v>4.5999999999999996</v>
      </c>
      <c r="J206">
        <v>6</v>
      </c>
      <c r="K206" t="s">
        <v>24</v>
      </c>
      <c r="L206">
        <v>4</v>
      </c>
      <c r="M206">
        <v>8</v>
      </c>
      <c r="N206" t="str">
        <f t="shared" si="24"/>
        <v>Tiktok</v>
      </c>
      <c r="O206">
        <f t="shared" si="25"/>
        <v>2</v>
      </c>
      <c r="P206" t="str">
        <f t="shared" si="26"/>
        <v>4.6</v>
      </c>
      <c r="Q206" t="str">
        <f t="shared" si="27"/>
        <v>LESS SLEEP</v>
      </c>
      <c r="R206" t="b">
        <f t="shared" si="30"/>
        <v>1</v>
      </c>
      <c r="S206" t="str">
        <f t="shared" si="28"/>
        <v>High</v>
      </c>
      <c r="T206" t="str">
        <f t="shared" si="29"/>
        <v>8</v>
      </c>
      <c r="U206">
        <v>5.6</v>
      </c>
      <c r="V206" t="b">
        <f t="shared" si="31"/>
        <v>1</v>
      </c>
    </row>
    <row r="207" spans="1:22" x14ac:dyDescent="0.25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4</v>
      </c>
      <c r="G207" t="s">
        <v>16</v>
      </c>
      <c r="H207" t="s">
        <v>17</v>
      </c>
      <c r="I207">
        <v>7.7</v>
      </c>
      <c r="J207">
        <v>5</v>
      </c>
      <c r="K207" t="s">
        <v>18</v>
      </c>
      <c r="L207">
        <v>3</v>
      </c>
      <c r="M207">
        <v>7</v>
      </c>
      <c r="N207" t="str">
        <f t="shared" si="24"/>
        <v>Instagram</v>
      </c>
      <c r="O207">
        <f t="shared" si="25"/>
        <v>1</v>
      </c>
      <c r="P207" t="str">
        <f t="shared" si="26"/>
        <v>7.7</v>
      </c>
      <c r="Q207" t="str">
        <f t="shared" si="27"/>
        <v>OK</v>
      </c>
      <c r="R207" t="b">
        <f t="shared" si="30"/>
        <v>1</v>
      </c>
      <c r="S207" t="str">
        <f t="shared" si="28"/>
        <v>High</v>
      </c>
      <c r="T207" t="str">
        <f t="shared" si="29"/>
        <v>7</v>
      </c>
      <c r="U207">
        <v>5.6</v>
      </c>
      <c r="V207" t="b">
        <f t="shared" si="31"/>
        <v>1</v>
      </c>
    </row>
    <row r="208" spans="1:22" x14ac:dyDescent="0.25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4.4000000000000004</v>
      </c>
      <c r="G208" t="s">
        <v>32</v>
      </c>
      <c r="H208" t="s">
        <v>23</v>
      </c>
      <c r="I208">
        <v>8.5</v>
      </c>
      <c r="J208">
        <v>7</v>
      </c>
      <c r="K208" t="s">
        <v>24</v>
      </c>
      <c r="L208">
        <v>2</v>
      </c>
      <c r="M208">
        <v>5</v>
      </c>
      <c r="N208" t="str">
        <f t="shared" si="24"/>
        <v>Facebook</v>
      </c>
      <c r="O208">
        <f t="shared" si="25"/>
        <v>0</v>
      </c>
      <c r="P208" t="str">
        <f t="shared" si="26"/>
        <v>8.5</v>
      </c>
      <c r="Q208" t="str">
        <f t="shared" si="27"/>
        <v>OK</v>
      </c>
      <c r="R208" t="str">
        <f t="shared" si="30"/>
        <v>medium</v>
      </c>
      <c r="S208" t="str">
        <f t="shared" si="28"/>
        <v>Medium</v>
      </c>
      <c r="T208" t="str">
        <f t="shared" si="29"/>
        <v>5</v>
      </c>
      <c r="U208">
        <v>5.6</v>
      </c>
      <c r="V208" t="b">
        <f t="shared" si="31"/>
        <v>1</v>
      </c>
    </row>
    <row r="209" spans="1:22" x14ac:dyDescent="0.25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4.7</v>
      </c>
      <c r="G209" t="s">
        <v>26</v>
      </c>
      <c r="H209" t="s">
        <v>17</v>
      </c>
      <c r="I209">
        <v>4.5</v>
      </c>
      <c r="J209">
        <v>6</v>
      </c>
      <c r="K209" t="s">
        <v>18</v>
      </c>
      <c r="L209">
        <v>4</v>
      </c>
      <c r="M209">
        <v>8</v>
      </c>
      <c r="N209" t="str">
        <f t="shared" si="24"/>
        <v>Tiktok</v>
      </c>
      <c r="O209">
        <f t="shared" si="25"/>
        <v>2</v>
      </c>
      <c r="P209" t="str">
        <f t="shared" si="26"/>
        <v>4.5</v>
      </c>
      <c r="Q209" t="str">
        <f t="shared" si="27"/>
        <v>LESS SLEEP</v>
      </c>
      <c r="R209" t="b">
        <f t="shared" si="30"/>
        <v>1</v>
      </c>
      <c r="S209" t="str">
        <f t="shared" si="28"/>
        <v>High</v>
      </c>
      <c r="T209" t="str">
        <f t="shared" si="29"/>
        <v>8</v>
      </c>
      <c r="U209">
        <v>5.6</v>
      </c>
      <c r="V209" t="b">
        <f t="shared" si="31"/>
        <v>1</v>
      </c>
    </row>
    <row r="210" spans="1:22" x14ac:dyDescent="0.25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4.2</v>
      </c>
      <c r="G210" t="s">
        <v>16</v>
      </c>
      <c r="H210" t="s">
        <v>17</v>
      </c>
      <c r="I210">
        <v>7.8</v>
      </c>
      <c r="J210">
        <v>5</v>
      </c>
      <c r="K210" t="s">
        <v>24</v>
      </c>
      <c r="L210">
        <v>3</v>
      </c>
      <c r="M210">
        <v>7</v>
      </c>
      <c r="N210" t="str">
        <f t="shared" si="24"/>
        <v>Instagram</v>
      </c>
      <c r="O210">
        <f t="shared" si="25"/>
        <v>1</v>
      </c>
      <c r="P210" t="str">
        <f t="shared" si="26"/>
        <v>7.8</v>
      </c>
      <c r="Q210" t="str">
        <f t="shared" si="27"/>
        <v>OK</v>
      </c>
      <c r="R210" t="b">
        <f t="shared" si="30"/>
        <v>1</v>
      </c>
      <c r="S210" t="str">
        <f t="shared" si="28"/>
        <v>High</v>
      </c>
      <c r="T210" t="str">
        <f t="shared" si="29"/>
        <v>7</v>
      </c>
      <c r="U210">
        <v>5.6</v>
      </c>
      <c r="V210" t="b">
        <f t="shared" si="31"/>
        <v>1</v>
      </c>
    </row>
    <row r="211" spans="1:22" x14ac:dyDescent="0.25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4.5</v>
      </c>
      <c r="G211" t="s">
        <v>32</v>
      </c>
      <c r="H211" t="s">
        <v>23</v>
      </c>
      <c r="I211">
        <v>8.6</v>
      </c>
      <c r="J211">
        <v>7</v>
      </c>
      <c r="K211" t="s">
        <v>18</v>
      </c>
      <c r="L211">
        <v>2</v>
      </c>
      <c r="M211">
        <v>6</v>
      </c>
      <c r="N211" t="str">
        <f t="shared" si="24"/>
        <v>Facebook</v>
      </c>
      <c r="O211">
        <f t="shared" si="25"/>
        <v>0</v>
      </c>
      <c r="P211" t="str">
        <f t="shared" si="26"/>
        <v>8.6</v>
      </c>
      <c r="Q211" t="str">
        <f t="shared" si="27"/>
        <v>OK</v>
      </c>
      <c r="R211" t="str">
        <f t="shared" si="30"/>
        <v>medium</v>
      </c>
      <c r="S211" t="str">
        <f t="shared" si="28"/>
        <v>Medium</v>
      </c>
      <c r="T211" t="str">
        <f t="shared" si="29"/>
        <v>6</v>
      </c>
      <c r="U211">
        <v>5.6</v>
      </c>
      <c r="V211" t="b">
        <f t="shared" si="31"/>
        <v>1</v>
      </c>
    </row>
    <row r="212" spans="1:22" x14ac:dyDescent="0.25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6.3</v>
      </c>
      <c r="G212" t="s">
        <v>26</v>
      </c>
      <c r="H212" t="s">
        <v>17</v>
      </c>
      <c r="I212">
        <v>4.4000000000000004</v>
      </c>
      <c r="J212">
        <v>6</v>
      </c>
      <c r="K212" t="s">
        <v>24</v>
      </c>
      <c r="L212">
        <v>4</v>
      </c>
      <c r="M212">
        <v>8</v>
      </c>
      <c r="N212" t="str">
        <f t="shared" si="24"/>
        <v>Tiktok</v>
      </c>
      <c r="O212">
        <f t="shared" si="25"/>
        <v>2</v>
      </c>
      <c r="P212" t="str">
        <f t="shared" si="26"/>
        <v>4.4</v>
      </c>
      <c r="Q212" t="str">
        <f t="shared" si="27"/>
        <v>LESS SLEEP</v>
      </c>
      <c r="R212" t="b">
        <f t="shared" si="30"/>
        <v>1</v>
      </c>
      <c r="S212" t="str">
        <f t="shared" si="28"/>
        <v>High</v>
      </c>
      <c r="T212" t="str">
        <f t="shared" si="29"/>
        <v>8</v>
      </c>
      <c r="U212">
        <v>5.6</v>
      </c>
      <c r="V212" t="b">
        <f t="shared" si="31"/>
        <v>1</v>
      </c>
    </row>
    <row r="213" spans="1:22" x14ac:dyDescent="0.25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3.9</v>
      </c>
      <c r="G213" t="s">
        <v>16</v>
      </c>
      <c r="H213" t="s">
        <v>17</v>
      </c>
      <c r="I213">
        <v>7.9</v>
      </c>
      <c r="J213">
        <v>5</v>
      </c>
      <c r="K213" t="s">
        <v>18</v>
      </c>
      <c r="L213">
        <v>3</v>
      </c>
      <c r="M213">
        <v>7</v>
      </c>
      <c r="N213" t="str">
        <f t="shared" si="24"/>
        <v>Instagram</v>
      </c>
      <c r="O213">
        <f t="shared" si="25"/>
        <v>1</v>
      </c>
      <c r="P213" t="str">
        <f t="shared" si="26"/>
        <v>7.9</v>
      </c>
      <c r="Q213" t="str">
        <f t="shared" si="27"/>
        <v>OK</v>
      </c>
      <c r="R213" t="b">
        <f t="shared" si="30"/>
        <v>1</v>
      </c>
      <c r="S213" t="str">
        <f t="shared" si="28"/>
        <v>High</v>
      </c>
      <c r="T213" t="str">
        <f t="shared" si="29"/>
        <v>7</v>
      </c>
      <c r="U213">
        <v>5.6</v>
      </c>
      <c r="V213" t="b">
        <f t="shared" si="31"/>
        <v>1</v>
      </c>
    </row>
    <row r="214" spans="1:22" x14ac:dyDescent="0.25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4.3</v>
      </c>
      <c r="G214" t="s">
        <v>32</v>
      </c>
      <c r="H214" t="s">
        <v>23</v>
      </c>
      <c r="I214">
        <v>8.6999999999999993</v>
      </c>
      <c r="J214">
        <v>7</v>
      </c>
      <c r="K214" t="s">
        <v>24</v>
      </c>
      <c r="L214">
        <v>2</v>
      </c>
      <c r="M214">
        <v>5</v>
      </c>
      <c r="N214" t="str">
        <f t="shared" si="24"/>
        <v>Facebook</v>
      </c>
      <c r="O214">
        <f t="shared" si="25"/>
        <v>0</v>
      </c>
      <c r="P214" t="str">
        <f t="shared" si="26"/>
        <v>8.7</v>
      </c>
      <c r="Q214" t="str">
        <f t="shared" si="27"/>
        <v>OK</v>
      </c>
      <c r="R214" t="str">
        <f t="shared" si="30"/>
        <v>medium</v>
      </c>
      <c r="S214" t="str">
        <f t="shared" si="28"/>
        <v>Medium</v>
      </c>
      <c r="T214" t="str">
        <f t="shared" si="29"/>
        <v>5</v>
      </c>
      <c r="U214">
        <v>5.6</v>
      </c>
      <c r="V214" t="b">
        <f t="shared" si="31"/>
        <v>1</v>
      </c>
    </row>
    <row r="215" spans="1:22" x14ac:dyDescent="0.25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4.5999999999999996</v>
      </c>
      <c r="G215" t="s">
        <v>26</v>
      </c>
      <c r="H215" t="s">
        <v>17</v>
      </c>
      <c r="I215">
        <v>4.3</v>
      </c>
      <c r="J215">
        <v>6</v>
      </c>
      <c r="K215" t="s">
        <v>18</v>
      </c>
      <c r="L215">
        <v>4</v>
      </c>
      <c r="M215">
        <v>8</v>
      </c>
      <c r="N215" t="str">
        <f t="shared" si="24"/>
        <v>Tiktok</v>
      </c>
      <c r="O215">
        <f t="shared" si="25"/>
        <v>2</v>
      </c>
      <c r="P215" t="str">
        <f t="shared" si="26"/>
        <v>4.3</v>
      </c>
      <c r="Q215" t="str">
        <f t="shared" si="27"/>
        <v>LESS SLEEP</v>
      </c>
      <c r="R215" t="b">
        <f t="shared" si="30"/>
        <v>1</v>
      </c>
      <c r="S215" t="str">
        <f t="shared" si="28"/>
        <v>High</v>
      </c>
      <c r="T215" t="str">
        <f t="shared" si="29"/>
        <v>8</v>
      </c>
      <c r="U215">
        <v>5.6</v>
      </c>
      <c r="V215" t="b">
        <f t="shared" si="31"/>
        <v>1</v>
      </c>
    </row>
    <row r="216" spans="1:22" x14ac:dyDescent="0.25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4.0999999999999996</v>
      </c>
      <c r="G216" t="s">
        <v>16</v>
      </c>
      <c r="H216" t="s">
        <v>17</v>
      </c>
      <c r="I216">
        <v>8</v>
      </c>
      <c r="J216">
        <v>5</v>
      </c>
      <c r="K216" t="s">
        <v>24</v>
      </c>
      <c r="L216">
        <v>3</v>
      </c>
      <c r="M216">
        <v>7</v>
      </c>
      <c r="N216" t="str">
        <f t="shared" si="24"/>
        <v>Instagram</v>
      </c>
      <c r="O216">
        <f t="shared" si="25"/>
        <v>1</v>
      </c>
      <c r="P216" t="str">
        <f t="shared" si="26"/>
        <v>8</v>
      </c>
      <c r="Q216" t="str">
        <f t="shared" si="27"/>
        <v>OK</v>
      </c>
      <c r="R216" t="b">
        <f t="shared" si="30"/>
        <v>1</v>
      </c>
      <c r="S216" t="str">
        <f t="shared" si="28"/>
        <v>High</v>
      </c>
      <c r="T216" t="str">
        <f t="shared" si="29"/>
        <v>7</v>
      </c>
      <c r="U216">
        <v>5.6</v>
      </c>
      <c r="V216" t="b">
        <f t="shared" si="31"/>
        <v>1</v>
      </c>
    </row>
    <row r="217" spans="1:22" x14ac:dyDescent="0.25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4.4000000000000004</v>
      </c>
      <c r="G217" t="s">
        <v>32</v>
      </c>
      <c r="H217" t="s">
        <v>23</v>
      </c>
      <c r="I217">
        <v>8.8000000000000007</v>
      </c>
      <c r="J217">
        <v>7</v>
      </c>
      <c r="K217" t="s">
        <v>18</v>
      </c>
      <c r="L217">
        <v>2</v>
      </c>
      <c r="M217">
        <v>6</v>
      </c>
      <c r="N217" t="str">
        <f t="shared" si="24"/>
        <v>Facebook</v>
      </c>
      <c r="O217">
        <f t="shared" si="25"/>
        <v>0</v>
      </c>
      <c r="P217" t="str">
        <f t="shared" si="26"/>
        <v>8.8</v>
      </c>
      <c r="Q217" t="str">
        <f t="shared" si="27"/>
        <v>OK</v>
      </c>
      <c r="R217" t="str">
        <f t="shared" si="30"/>
        <v>medium</v>
      </c>
      <c r="S217" t="str">
        <f t="shared" si="28"/>
        <v>Medium</v>
      </c>
      <c r="T217" t="str">
        <f t="shared" si="29"/>
        <v>6</v>
      </c>
      <c r="U217">
        <v>5.6</v>
      </c>
      <c r="V217" t="b">
        <f t="shared" si="31"/>
        <v>1</v>
      </c>
    </row>
    <row r="218" spans="1:22" x14ac:dyDescent="0.25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6.4</v>
      </c>
      <c r="G218" t="s">
        <v>26</v>
      </c>
      <c r="H218" t="s">
        <v>17</v>
      </c>
      <c r="I218">
        <v>4.2</v>
      </c>
      <c r="J218">
        <v>6</v>
      </c>
      <c r="K218" t="s">
        <v>24</v>
      </c>
      <c r="L218">
        <v>4</v>
      </c>
      <c r="M218">
        <v>8</v>
      </c>
      <c r="N218" t="str">
        <f t="shared" si="24"/>
        <v>Tiktok</v>
      </c>
      <c r="O218">
        <f t="shared" si="25"/>
        <v>2</v>
      </c>
      <c r="P218" t="str">
        <f t="shared" si="26"/>
        <v>4.2</v>
      </c>
      <c r="Q218" t="str">
        <f t="shared" si="27"/>
        <v>LESS SLEEP</v>
      </c>
      <c r="R218" t="b">
        <f t="shared" si="30"/>
        <v>1</v>
      </c>
      <c r="S218" t="str">
        <f t="shared" si="28"/>
        <v>High</v>
      </c>
      <c r="T218" t="str">
        <f t="shared" si="29"/>
        <v>8</v>
      </c>
      <c r="U218">
        <v>5.6</v>
      </c>
      <c r="V218" t="b">
        <f t="shared" si="31"/>
        <v>1</v>
      </c>
    </row>
    <row r="219" spans="1:22" x14ac:dyDescent="0.25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3.8</v>
      </c>
      <c r="G219" t="s">
        <v>16</v>
      </c>
      <c r="H219" t="s">
        <v>17</v>
      </c>
      <c r="I219">
        <v>8.1</v>
      </c>
      <c r="J219">
        <v>5</v>
      </c>
      <c r="K219" t="s">
        <v>18</v>
      </c>
      <c r="L219">
        <v>3</v>
      </c>
      <c r="M219">
        <v>7</v>
      </c>
      <c r="N219" t="str">
        <f t="shared" si="24"/>
        <v>Instagram</v>
      </c>
      <c r="O219">
        <f t="shared" si="25"/>
        <v>1</v>
      </c>
      <c r="P219" t="str">
        <f t="shared" si="26"/>
        <v>8.1</v>
      </c>
      <c r="Q219" t="str">
        <f t="shared" si="27"/>
        <v>OK</v>
      </c>
      <c r="R219" t="b">
        <f t="shared" si="30"/>
        <v>1</v>
      </c>
      <c r="S219" t="str">
        <f t="shared" si="28"/>
        <v>High</v>
      </c>
      <c r="T219" t="str">
        <f t="shared" si="29"/>
        <v>7</v>
      </c>
      <c r="U219">
        <v>5.6</v>
      </c>
      <c r="V219" t="b">
        <f t="shared" si="31"/>
        <v>1</v>
      </c>
    </row>
    <row r="220" spans="1:22" x14ac:dyDescent="0.25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4.2</v>
      </c>
      <c r="G220" t="s">
        <v>32</v>
      </c>
      <c r="H220" t="s">
        <v>23</v>
      </c>
      <c r="I220">
        <v>8.9</v>
      </c>
      <c r="J220">
        <v>7</v>
      </c>
      <c r="K220" t="s">
        <v>24</v>
      </c>
      <c r="L220">
        <v>2</v>
      </c>
      <c r="M220">
        <v>5</v>
      </c>
      <c r="N220" t="str">
        <f t="shared" si="24"/>
        <v>Facebook</v>
      </c>
      <c r="O220">
        <f t="shared" si="25"/>
        <v>0</v>
      </c>
      <c r="P220" t="str">
        <f t="shared" si="26"/>
        <v>8.9</v>
      </c>
      <c r="Q220" t="str">
        <f t="shared" si="27"/>
        <v>OK</v>
      </c>
      <c r="R220" t="str">
        <f t="shared" si="30"/>
        <v>medium</v>
      </c>
      <c r="S220" t="str">
        <f t="shared" si="28"/>
        <v>Medium</v>
      </c>
      <c r="T220" t="str">
        <f t="shared" si="29"/>
        <v>5</v>
      </c>
      <c r="U220">
        <v>5.6</v>
      </c>
      <c r="V220" t="b">
        <f t="shared" si="31"/>
        <v>1</v>
      </c>
    </row>
    <row r="221" spans="1:22" x14ac:dyDescent="0.25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4.5</v>
      </c>
      <c r="G221" t="s">
        <v>26</v>
      </c>
      <c r="H221" t="s">
        <v>17</v>
      </c>
      <c r="I221">
        <v>4.0999999999999996</v>
      </c>
      <c r="J221">
        <v>6</v>
      </c>
      <c r="K221" t="s">
        <v>18</v>
      </c>
      <c r="L221">
        <v>4</v>
      </c>
      <c r="M221">
        <v>8</v>
      </c>
      <c r="N221" t="str">
        <f t="shared" si="24"/>
        <v>Tiktok</v>
      </c>
      <c r="O221">
        <f t="shared" si="25"/>
        <v>2</v>
      </c>
      <c r="P221" t="str">
        <f t="shared" si="26"/>
        <v>4.1</v>
      </c>
      <c r="Q221" t="str">
        <f t="shared" si="27"/>
        <v>LESS SLEEP</v>
      </c>
      <c r="R221" t="b">
        <f t="shared" si="30"/>
        <v>1</v>
      </c>
      <c r="S221" t="str">
        <f t="shared" si="28"/>
        <v>High</v>
      </c>
      <c r="T221" t="str">
        <f t="shared" si="29"/>
        <v>8</v>
      </c>
      <c r="U221">
        <v>5.5</v>
      </c>
      <c r="V221" t="b">
        <f t="shared" si="31"/>
        <v>1</v>
      </c>
    </row>
    <row r="222" spans="1:22" x14ac:dyDescent="0.25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6.5</v>
      </c>
      <c r="G222" t="s">
        <v>16</v>
      </c>
      <c r="H222" t="s">
        <v>17</v>
      </c>
      <c r="I222">
        <v>6</v>
      </c>
      <c r="J222">
        <v>5</v>
      </c>
      <c r="K222" t="s">
        <v>24</v>
      </c>
      <c r="L222">
        <v>4</v>
      </c>
      <c r="M222">
        <v>9</v>
      </c>
      <c r="N222" t="str">
        <f t="shared" si="24"/>
        <v>Instagram</v>
      </c>
      <c r="O222">
        <f t="shared" si="25"/>
        <v>1</v>
      </c>
      <c r="P222" t="str">
        <f t="shared" si="26"/>
        <v>6</v>
      </c>
      <c r="Q222" t="str">
        <f t="shared" si="27"/>
        <v>OK</v>
      </c>
      <c r="R222" t="b">
        <f t="shared" si="30"/>
        <v>1</v>
      </c>
      <c r="S222" t="str">
        <f t="shared" si="28"/>
        <v>High</v>
      </c>
      <c r="T222" t="str">
        <f t="shared" si="29"/>
        <v>9</v>
      </c>
      <c r="U222">
        <v>5.5</v>
      </c>
      <c r="V222" t="b">
        <f t="shared" si="31"/>
        <v>1</v>
      </c>
    </row>
    <row r="223" spans="1:22" x14ac:dyDescent="0.25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5.8</v>
      </c>
      <c r="G223" t="s">
        <v>26</v>
      </c>
      <c r="H223" t="s">
        <v>17</v>
      </c>
      <c r="I223">
        <v>6.5</v>
      </c>
      <c r="J223">
        <v>6</v>
      </c>
      <c r="K223" t="s">
        <v>18</v>
      </c>
      <c r="L223">
        <v>3</v>
      </c>
      <c r="M223">
        <v>7</v>
      </c>
      <c r="N223" t="str">
        <f t="shared" si="24"/>
        <v>Tiktok</v>
      </c>
      <c r="O223">
        <f t="shared" si="25"/>
        <v>2</v>
      </c>
      <c r="P223" t="str">
        <f t="shared" si="26"/>
        <v>6.5</v>
      </c>
      <c r="Q223" t="str">
        <f t="shared" si="27"/>
        <v>OK</v>
      </c>
      <c r="R223" t="b">
        <f t="shared" si="30"/>
        <v>1</v>
      </c>
      <c r="S223" t="str">
        <f t="shared" si="28"/>
        <v>High</v>
      </c>
      <c r="T223" t="str">
        <f t="shared" si="29"/>
        <v>7</v>
      </c>
      <c r="U223">
        <v>5.5</v>
      </c>
      <c r="V223" t="b">
        <f t="shared" si="31"/>
        <v>1</v>
      </c>
    </row>
    <row r="224" spans="1:22" x14ac:dyDescent="0.25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4.5</v>
      </c>
      <c r="G224" t="s">
        <v>16</v>
      </c>
      <c r="H224" t="s">
        <v>23</v>
      </c>
      <c r="I224">
        <v>7.5</v>
      </c>
      <c r="J224">
        <v>8</v>
      </c>
      <c r="K224" t="s">
        <v>24</v>
      </c>
      <c r="L224">
        <v>2</v>
      </c>
      <c r="M224">
        <v>5</v>
      </c>
      <c r="N224" t="str">
        <f t="shared" si="24"/>
        <v>Instagram</v>
      </c>
      <c r="O224">
        <f t="shared" si="25"/>
        <v>1</v>
      </c>
      <c r="P224" t="str">
        <f t="shared" si="26"/>
        <v>7.5</v>
      </c>
      <c r="Q224" t="str">
        <f t="shared" si="27"/>
        <v>OK</v>
      </c>
      <c r="R224" t="str">
        <f t="shared" si="30"/>
        <v>medium</v>
      </c>
      <c r="S224" t="str">
        <f t="shared" si="28"/>
        <v>Medium</v>
      </c>
      <c r="T224" t="str">
        <f t="shared" si="29"/>
        <v>5</v>
      </c>
      <c r="U224">
        <v>5.5</v>
      </c>
      <c r="V224" t="b">
        <f t="shared" si="31"/>
        <v>1</v>
      </c>
    </row>
    <row r="225" spans="1:22" x14ac:dyDescent="0.25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4.2</v>
      </c>
      <c r="G225" t="s">
        <v>32</v>
      </c>
      <c r="H225" t="s">
        <v>23</v>
      </c>
      <c r="I225">
        <v>7.8</v>
      </c>
      <c r="J225">
        <v>7</v>
      </c>
      <c r="K225" t="s">
        <v>18</v>
      </c>
      <c r="L225">
        <v>2</v>
      </c>
      <c r="M225">
        <v>4</v>
      </c>
      <c r="N225" t="str">
        <f t="shared" si="24"/>
        <v>Facebook</v>
      </c>
      <c r="O225">
        <f t="shared" si="25"/>
        <v>0</v>
      </c>
      <c r="P225" t="str">
        <f t="shared" si="26"/>
        <v>7.8</v>
      </c>
      <c r="Q225" t="str">
        <f t="shared" si="27"/>
        <v>OK</v>
      </c>
      <c r="R225" t="str">
        <f t="shared" si="30"/>
        <v>medium</v>
      </c>
      <c r="S225" t="str">
        <f t="shared" si="28"/>
        <v>Low</v>
      </c>
      <c r="T225" t="str">
        <f t="shared" si="29"/>
        <v>4</v>
      </c>
      <c r="U225">
        <v>5.5</v>
      </c>
      <c r="V225" t="b">
        <f t="shared" si="31"/>
        <v>1</v>
      </c>
    </row>
    <row r="226" spans="1:22" x14ac:dyDescent="0.25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3.8</v>
      </c>
      <c r="G226" t="s">
        <v>140</v>
      </c>
      <c r="H226" t="s">
        <v>23</v>
      </c>
      <c r="I226">
        <v>7.9</v>
      </c>
      <c r="J226">
        <v>8</v>
      </c>
      <c r="K226" t="s">
        <v>24</v>
      </c>
      <c r="L226">
        <v>1</v>
      </c>
      <c r="M226">
        <v>3</v>
      </c>
      <c r="N226" t="str">
        <f t="shared" si="24"/>
        <v>Line</v>
      </c>
      <c r="O226">
        <f t="shared" si="25"/>
        <v>0</v>
      </c>
      <c r="P226" t="str">
        <f t="shared" si="26"/>
        <v>7.9</v>
      </c>
      <c r="Q226" t="str">
        <f t="shared" si="27"/>
        <v>OK</v>
      </c>
      <c r="R226" t="str">
        <f t="shared" si="30"/>
        <v>medium</v>
      </c>
      <c r="S226" t="str">
        <f t="shared" si="28"/>
        <v>Low</v>
      </c>
      <c r="T226" t="str">
        <f t="shared" si="29"/>
        <v>3</v>
      </c>
      <c r="U226">
        <v>5.5</v>
      </c>
      <c r="V226" t="b">
        <f t="shared" si="31"/>
        <v>1</v>
      </c>
    </row>
    <row r="227" spans="1:22" x14ac:dyDescent="0.25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5.5</v>
      </c>
      <c r="G227" t="s">
        <v>16</v>
      </c>
      <c r="H227" t="s">
        <v>17</v>
      </c>
      <c r="I227">
        <v>6.8</v>
      </c>
      <c r="J227">
        <v>6</v>
      </c>
      <c r="K227" t="s">
        <v>24</v>
      </c>
      <c r="L227">
        <v>3</v>
      </c>
      <c r="M227">
        <v>7</v>
      </c>
      <c r="N227" t="str">
        <f t="shared" si="24"/>
        <v>Instagram</v>
      </c>
      <c r="O227">
        <f t="shared" si="25"/>
        <v>1</v>
      </c>
      <c r="P227" t="str">
        <f t="shared" si="26"/>
        <v>6.8</v>
      </c>
      <c r="Q227" t="str">
        <f t="shared" si="27"/>
        <v>OK</v>
      </c>
      <c r="R227" t="b">
        <f t="shared" si="30"/>
        <v>1</v>
      </c>
      <c r="S227" t="str">
        <f t="shared" si="28"/>
        <v>High</v>
      </c>
      <c r="T227" t="str">
        <f t="shared" si="29"/>
        <v>7</v>
      </c>
      <c r="U227">
        <v>5.5</v>
      </c>
      <c r="V227" t="b">
        <f t="shared" si="31"/>
        <v>1</v>
      </c>
    </row>
    <row r="228" spans="1:22" x14ac:dyDescent="0.25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5.2</v>
      </c>
      <c r="G228" t="s">
        <v>141</v>
      </c>
      <c r="H228" t="s">
        <v>17</v>
      </c>
      <c r="I228">
        <v>6.5</v>
      </c>
      <c r="J228">
        <v>6</v>
      </c>
      <c r="K228" t="s">
        <v>18</v>
      </c>
      <c r="L228">
        <v>3</v>
      </c>
      <c r="M228">
        <v>6</v>
      </c>
      <c r="N228" t="str">
        <f t="shared" si="24"/>
        <v>Kakaotalk</v>
      </c>
      <c r="O228">
        <f t="shared" si="25"/>
        <v>1</v>
      </c>
      <c r="P228" t="str">
        <f t="shared" si="26"/>
        <v>6.5</v>
      </c>
      <c r="Q228" t="str">
        <f t="shared" si="27"/>
        <v>OK</v>
      </c>
      <c r="R228" t="str">
        <f t="shared" si="30"/>
        <v>medium</v>
      </c>
      <c r="S228" t="str">
        <f t="shared" si="28"/>
        <v>Medium</v>
      </c>
      <c r="T228" t="str">
        <f t="shared" si="29"/>
        <v>6</v>
      </c>
      <c r="U228">
        <v>5.5</v>
      </c>
      <c r="V228" t="b">
        <f t="shared" si="31"/>
        <v>1</v>
      </c>
    </row>
    <row r="229" spans="1:22" x14ac:dyDescent="0.25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4.8</v>
      </c>
      <c r="G229" t="s">
        <v>142</v>
      </c>
      <c r="H229" t="s">
        <v>23</v>
      </c>
      <c r="I229">
        <v>7.2</v>
      </c>
      <c r="J229">
        <v>7</v>
      </c>
      <c r="K229" t="s">
        <v>24</v>
      </c>
      <c r="L229">
        <v>2</v>
      </c>
      <c r="M229">
        <v>5</v>
      </c>
      <c r="N229" t="str">
        <f t="shared" si="24"/>
        <v>Vkontakte</v>
      </c>
      <c r="O229">
        <f t="shared" si="25"/>
        <v>2</v>
      </c>
      <c r="P229" t="str">
        <f t="shared" si="26"/>
        <v>7.2</v>
      </c>
      <c r="Q229" t="str">
        <f t="shared" si="27"/>
        <v>OK</v>
      </c>
      <c r="R229" t="str">
        <f t="shared" si="30"/>
        <v>medium</v>
      </c>
      <c r="S229" t="str">
        <f t="shared" si="28"/>
        <v>Medium</v>
      </c>
      <c r="T229" t="str">
        <f t="shared" si="29"/>
        <v>5</v>
      </c>
      <c r="U229">
        <v>5.5</v>
      </c>
      <c r="V229" t="b">
        <f t="shared" si="31"/>
        <v>1</v>
      </c>
    </row>
    <row r="230" spans="1:22" x14ac:dyDescent="0.25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7</v>
      </c>
      <c r="G230" t="s">
        <v>26</v>
      </c>
      <c r="H230" t="s">
        <v>17</v>
      </c>
      <c r="I230">
        <v>5.8</v>
      </c>
      <c r="J230">
        <v>4</v>
      </c>
      <c r="K230" t="s">
        <v>18</v>
      </c>
      <c r="L230">
        <v>4</v>
      </c>
      <c r="M230">
        <v>9</v>
      </c>
      <c r="N230" t="str">
        <f t="shared" si="24"/>
        <v>Tiktok</v>
      </c>
      <c r="O230">
        <f t="shared" si="25"/>
        <v>2</v>
      </c>
      <c r="P230" t="str">
        <f t="shared" si="26"/>
        <v>5.8</v>
      </c>
      <c r="Q230" t="str">
        <f t="shared" si="27"/>
        <v>OK</v>
      </c>
      <c r="R230" t="b">
        <f t="shared" si="30"/>
        <v>1</v>
      </c>
      <c r="S230" t="str">
        <f t="shared" si="28"/>
        <v>High</v>
      </c>
      <c r="T230" t="str">
        <f t="shared" si="29"/>
        <v>9</v>
      </c>
      <c r="U230">
        <v>5.5</v>
      </c>
      <c r="V230" t="b">
        <f t="shared" si="31"/>
        <v>1</v>
      </c>
    </row>
    <row r="231" spans="1:22" x14ac:dyDescent="0.25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5.5</v>
      </c>
      <c r="G231" t="s">
        <v>16</v>
      </c>
      <c r="H231" t="s">
        <v>17</v>
      </c>
      <c r="I231">
        <v>6.7</v>
      </c>
      <c r="J231">
        <v>6</v>
      </c>
      <c r="K231" t="s">
        <v>24</v>
      </c>
      <c r="L231">
        <v>3</v>
      </c>
      <c r="M231">
        <v>7</v>
      </c>
      <c r="N231" t="str">
        <f t="shared" si="24"/>
        <v>Instagram</v>
      </c>
      <c r="O231">
        <f t="shared" si="25"/>
        <v>1</v>
      </c>
      <c r="P231" t="str">
        <f t="shared" si="26"/>
        <v>6.7</v>
      </c>
      <c r="Q231" t="str">
        <f t="shared" si="27"/>
        <v>OK</v>
      </c>
      <c r="R231" t="b">
        <f t="shared" si="30"/>
        <v>1</v>
      </c>
      <c r="S231" t="str">
        <f t="shared" si="28"/>
        <v>High</v>
      </c>
      <c r="T231" t="str">
        <f t="shared" si="29"/>
        <v>7</v>
      </c>
      <c r="U231">
        <v>5.5</v>
      </c>
      <c r="V231" t="b">
        <f t="shared" si="31"/>
        <v>1</v>
      </c>
    </row>
    <row r="232" spans="1:22" x14ac:dyDescent="0.25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4.7</v>
      </c>
      <c r="G232" t="s">
        <v>32</v>
      </c>
      <c r="H232" t="s">
        <v>23</v>
      </c>
      <c r="I232">
        <v>7.4</v>
      </c>
      <c r="J232">
        <v>7</v>
      </c>
      <c r="K232" t="s">
        <v>18</v>
      </c>
      <c r="L232">
        <v>2</v>
      </c>
      <c r="M232">
        <v>5</v>
      </c>
      <c r="N232" t="str">
        <f t="shared" si="24"/>
        <v>Facebook</v>
      </c>
      <c r="O232">
        <f t="shared" si="25"/>
        <v>0</v>
      </c>
      <c r="P232" t="str">
        <f t="shared" si="26"/>
        <v>7.4</v>
      </c>
      <c r="Q232" t="str">
        <f t="shared" si="27"/>
        <v>OK</v>
      </c>
      <c r="R232" t="str">
        <f t="shared" si="30"/>
        <v>medium</v>
      </c>
      <c r="S232" t="str">
        <f t="shared" si="28"/>
        <v>Medium</v>
      </c>
      <c r="T232" t="str">
        <f t="shared" si="29"/>
        <v>5</v>
      </c>
      <c r="U232">
        <v>5.5</v>
      </c>
      <c r="V232" t="b">
        <f t="shared" si="31"/>
        <v>1</v>
      </c>
    </row>
    <row r="233" spans="1:22" x14ac:dyDescent="0.25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4</v>
      </c>
      <c r="G233" t="s">
        <v>16</v>
      </c>
      <c r="H233" t="s">
        <v>23</v>
      </c>
      <c r="I233">
        <v>7.9</v>
      </c>
      <c r="J233">
        <v>8</v>
      </c>
      <c r="K233" t="s">
        <v>24</v>
      </c>
      <c r="L233">
        <v>1</v>
      </c>
      <c r="M233">
        <v>4</v>
      </c>
      <c r="N233" t="str">
        <f t="shared" si="24"/>
        <v>Instagram</v>
      </c>
      <c r="O233">
        <f t="shared" si="25"/>
        <v>1</v>
      </c>
      <c r="P233" t="str">
        <f t="shared" si="26"/>
        <v>7.9</v>
      </c>
      <c r="Q233" t="str">
        <f t="shared" si="27"/>
        <v>OK</v>
      </c>
      <c r="R233" t="str">
        <f t="shared" si="30"/>
        <v>medium</v>
      </c>
      <c r="S233" t="str">
        <f t="shared" si="28"/>
        <v>Low</v>
      </c>
      <c r="T233" t="str">
        <f t="shared" si="29"/>
        <v>4</v>
      </c>
      <c r="U233">
        <v>5.5</v>
      </c>
      <c r="V233" t="b">
        <f t="shared" si="31"/>
        <v>1</v>
      </c>
    </row>
    <row r="234" spans="1:22" x14ac:dyDescent="0.25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3.5</v>
      </c>
      <c r="G234" t="s">
        <v>140</v>
      </c>
      <c r="H234" t="s">
        <v>23</v>
      </c>
      <c r="I234">
        <v>8</v>
      </c>
      <c r="J234">
        <v>8</v>
      </c>
      <c r="K234" t="s">
        <v>24</v>
      </c>
      <c r="L234">
        <v>1</v>
      </c>
      <c r="M234">
        <v>3</v>
      </c>
      <c r="N234" t="str">
        <f t="shared" si="24"/>
        <v>Line</v>
      </c>
      <c r="O234">
        <f t="shared" si="25"/>
        <v>0</v>
      </c>
      <c r="P234" t="str">
        <f t="shared" si="26"/>
        <v>8</v>
      </c>
      <c r="Q234" t="str">
        <f t="shared" si="27"/>
        <v>OK</v>
      </c>
      <c r="R234" t="str">
        <f t="shared" si="30"/>
        <v>medium</v>
      </c>
      <c r="S234" t="str">
        <f t="shared" si="28"/>
        <v>Low</v>
      </c>
      <c r="T234" t="str">
        <f t="shared" si="29"/>
        <v>3</v>
      </c>
      <c r="U234">
        <v>5.5</v>
      </c>
      <c r="V234" t="b">
        <f t="shared" si="31"/>
        <v>1</v>
      </c>
    </row>
    <row r="235" spans="1:22" x14ac:dyDescent="0.25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5.7</v>
      </c>
      <c r="G235" t="s">
        <v>26</v>
      </c>
      <c r="H235" t="s">
        <v>17</v>
      </c>
      <c r="I235">
        <v>6.5</v>
      </c>
      <c r="J235">
        <v>5</v>
      </c>
      <c r="K235" t="s">
        <v>18</v>
      </c>
      <c r="L235">
        <v>3</v>
      </c>
      <c r="M235">
        <v>8</v>
      </c>
      <c r="N235" t="str">
        <f t="shared" si="24"/>
        <v>Tiktok</v>
      </c>
      <c r="O235">
        <f t="shared" si="25"/>
        <v>2</v>
      </c>
      <c r="P235" t="str">
        <f t="shared" si="26"/>
        <v>6.5</v>
      </c>
      <c r="Q235" t="str">
        <f t="shared" si="27"/>
        <v>OK</v>
      </c>
      <c r="R235" t="b">
        <f t="shared" si="30"/>
        <v>1</v>
      </c>
      <c r="S235" t="str">
        <f t="shared" si="28"/>
        <v>High</v>
      </c>
      <c r="T235" t="str">
        <f t="shared" si="29"/>
        <v>8</v>
      </c>
      <c r="U235">
        <v>5.5</v>
      </c>
      <c r="V235" t="b">
        <f t="shared" si="31"/>
        <v>1</v>
      </c>
    </row>
    <row r="236" spans="1:22" x14ac:dyDescent="0.25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5</v>
      </c>
      <c r="G236" t="s">
        <v>141</v>
      </c>
      <c r="H236" t="s">
        <v>17</v>
      </c>
      <c r="I236">
        <v>6.8</v>
      </c>
      <c r="J236">
        <v>6</v>
      </c>
      <c r="K236" t="s">
        <v>24</v>
      </c>
      <c r="L236">
        <v>3</v>
      </c>
      <c r="M236">
        <v>6</v>
      </c>
      <c r="N236" t="str">
        <f t="shared" si="24"/>
        <v>Kakaotalk</v>
      </c>
      <c r="O236">
        <f t="shared" si="25"/>
        <v>1</v>
      </c>
      <c r="P236" t="str">
        <f t="shared" si="26"/>
        <v>6.8</v>
      </c>
      <c r="Q236" t="str">
        <f t="shared" si="27"/>
        <v>OK</v>
      </c>
      <c r="R236" t="str">
        <f t="shared" si="30"/>
        <v>medium</v>
      </c>
      <c r="S236" t="str">
        <f t="shared" si="28"/>
        <v>Medium</v>
      </c>
      <c r="T236" t="str">
        <f t="shared" si="29"/>
        <v>6</v>
      </c>
      <c r="U236">
        <v>5.5</v>
      </c>
      <c r="V236" t="b">
        <f t="shared" si="31"/>
        <v>1</v>
      </c>
    </row>
    <row r="237" spans="1:22" x14ac:dyDescent="0.25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4.5</v>
      </c>
      <c r="G237" t="s">
        <v>142</v>
      </c>
      <c r="H237" t="s">
        <v>23</v>
      </c>
      <c r="I237">
        <v>7.4</v>
      </c>
      <c r="J237">
        <v>7</v>
      </c>
      <c r="K237" t="s">
        <v>18</v>
      </c>
      <c r="L237">
        <v>2</v>
      </c>
      <c r="M237">
        <v>5</v>
      </c>
      <c r="N237" t="str">
        <f t="shared" si="24"/>
        <v>Vkontakte</v>
      </c>
      <c r="O237">
        <f t="shared" si="25"/>
        <v>2</v>
      </c>
      <c r="P237" t="str">
        <f t="shared" si="26"/>
        <v>7.4</v>
      </c>
      <c r="Q237" t="str">
        <f t="shared" si="27"/>
        <v>OK</v>
      </c>
      <c r="R237" t="str">
        <f t="shared" si="30"/>
        <v>medium</v>
      </c>
      <c r="S237" t="str">
        <f t="shared" si="28"/>
        <v>Medium</v>
      </c>
      <c r="T237" t="str">
        <f t="shared" si="29"/>
        <v>5</v>
      </c>
      <c r="U237">
        <v>5.5</v>
      </c>
      <c r="V237" t="b">
        <f t="shared" si="31"/>
        <v>1</v>
      </c>
    </row>
    <row r="238" spans="1:22" x14ac:dyDescent="0.25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6.8</v>
      </c>
      <c r="G238" t="s">
        <v>16</v>
      </c>
      <c r="H238" t="s">
        <v>17</v>
      </c>
      <c r="I238">
        <v>5.9</v>
      </c>
      <c r="J238">
        <v>4</v>
      </c>
      <c r="K238" t="s">
        <v>24</v>
      </c>
      <c r="L238">
        <v>4</v>
      </c>
      <c r="M238">
        <v>9</v>
      </c>
      <c r="N238" t="str">
        <f t="shared" si="24"/>
        <v>Instagram</v>
      </c>
      <c r="O238">
        <f t="shared" si="25"/>
        <v>1</v>
      </c>
      <c r="P238" t="str">
        <f t="shared" si="26"/>
        <v>5.9</v>
      </c>
      <c r="Q238" t="str">
        <f t="shared" si="27"/>
        <v>OK</v>
      </c>
      <c r="R238" t="b">
        <f t="shared" si="30"/>
        <v>1</v>
      </c>
      <c r="S238" t="str">
        <f t="shared" si="28"/>
        <v>High</v>
      </c>
      <c r="T238" t="str">
        <f t="shared" si="29"/>
        <v>9</v>
      </c>
      <c r="U238">
        <v>5.5</v>
      </c>
      <c r="V238" t="b">
        <f t="shared" si="31"/>
        <v>1</v>
      </c>
    </row>
    <row r="239" spans="1:22" x14ac:dyDescent="0.25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5.6</v>
      </c>
      <c r="G239" t="s">
        <v>32</v>
      </c>
      <c r="H239" t="s">
        <v>17</v>
      </c>
      <c r="I239">
        <v>6.6</v>
      </c>
      <c r="J239">
        <v>6</v>
      </c>
      <c r="K239" t="s">
        <v>18</v>
      </c>
      <c r="L239">
        <v>3</v>
      </c>
      <c r="M239">
        <v>7</v>
      </c>
      <c r="N239" t="str">
        <f t="shared" si="24"/>
        <v>Facebook</v>
      </c>
      <c r="O239">
        <f t="shared" si="25"/>
        <v>0</v>
      </c>
      <c r="P239" t="str">
        <f t="shared" si="26"/>
        <v>6.6</v>
      </c>
      <c r="Q239" t="str">
        <f t="shared" si="27"/>
        <v>OK</v>
      </c>
      <c r="R239" t="b">
        <f t="shared" si="30"/>
        <v>1</v>
      </c>
      <c r="S239" t="str">
        <f t="shared" si="28"/>
        <v>High</v>
      </c>
      <c r="T239" t="str">
        <f t="shared" si="29"/>
        <v>7</v>
      </c>
      <c r="U239">
        <v>5.5</v>
      </c>
      <c r="V239" t="b">
        <f t="shared" si="31"/>
        <v>1</v>
      </c>
    </row>
    <row r="240" spans="1:22" x14ac:dyDescent="0.25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4.5999999999999996</v>
      </c>
      <c r="G240" t="s">
        <v>16</v>
      </c>
      <c r="H240" t="s">
        <v>23</v>
      </c>
      <c r="I240">
        <v>7.3</v>
      </c>
      <c r="J240">
        <v>7</v>
      </c>
      <c r="K240" t="s">
        <v>24</v>
      </c>
      <c r="L240">
        <v>2</v>
      </c>
      <c r="M240">
        <v>5</v>
      </c>
      <c r="N240" t="str">
        <f t="shared" si="24"/>
        <v>Instagram</v>
      </c>
      <c r="O240">
        <f t="shared" si="25"/>
        <v>1</v>
      </c>
      <c r="P240" t="str">
        <f t="shared" si="26"/>
        <v>7.3</v>
      </c>
      <c r="Q240" t="str">
        <f t="shared" si="27"/>
        <v>OK</v>
      </c>
      <c r="R240" t="str">
        <f t="shared" si="30"/>
        <v>medium</v>
      </c>
      <c r="S240" t="str">
        <f t="shared" si="28"/>
        <v>Medium</v>
      </c>
      <c r="T240" t="str">
        <f t="shared" si="29"/>
        <v>5</v>
      </c>
      <c r="U240">
        <v>5.4</v>
      </c>
      <c r="V240" t="b">
        <f t="shared" si="31"/>
        <v>1</v>
      </c>
    </row>
    <row r="241" spans="1:22" x14ac:dyDescent="0.25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4.0999999999999996</v>
      </c>
      <c r="G241" t="s">
        <v>32</v>
      </c>
      <c r="H241" t="s">
        <v>23</v>
      </c>
      <c r="I241">
        <v>7.7</v>
      </c>
      <c r="J241">
        <v>8</v>
      </c>
      <c r="K241" t="s">
        <v>18</v>
      </c>
      <c r="L241">
        <v>2</v>
      </c>
      <c r="M241">
        <v>4</v>
      </c>
      <c r="N241" t="str">
        <f t="shared" si="24"/>
        <v>Facebook</v>
      </c>
      <c r="O241">
        <f t="shared" si="25"/>
        <v>0</v>
      </c>
      <c r="P241" t="str">
        <f t="shared" si="26"/>
        <v>7.7</v>
      </c>
      <c r="Q241" t="str">
        <f t="shared" si="27"/>
        <v>OK</v>
      </c>
      <c r="R241" t="str">
        <f t="shared" si="30"/>
        <v>medium</v>
      </c>
      <c r="S241" t="str">
        <f t="shared" si="28"/>
        <v>Low</v>
      </c>
      <c r="T241" t="str">
        <f t="shared" si="29"/>
        <v>4</v>
      </c>
      <c r="U241">
        <v>5.4</v>
      </c>
      <c r="V241" t="b">
        <f t="shared" si="31"/>
        <v>1</v>
      </c>
    </row>
    <row r="242" spans="1:22" x14ac:dyDescent="0.25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3.7</v>
      </c>
      <c r="G242" t="s">
        <v>140</v>
      </c>
      <c r="H242" t="s">
        <v>23</v>
      </c>
      <c r="I242">
        <v>7.8</v>
      </c>
      <c r="J242">
        <v>8</v>
      </c>
      <c r="K242" t="s">
        <v>24</v>
      </c>
      <c r="L242">
        <v>1</v>
      </c>
      <c r="M242">
        <v>3</v>
      </c>
      <c r="N242" t="str">
        <f t="shared" si="24"/>
        <v>Line</v>
      </c>
      <c r="O242">
        <f t="shared" si="25"/>
        <v>0</v>
      </c>
      <c r="P242" t="str">
        <f t="shared" si="26"/>
        <v>7.8</v>
      </c>
      <c r="Q242" t="str">
        <f t="shared" si="27"/>
        <v>OK</v>
      </c>
      <c r="R242" t="str">
        <f t="shared" si="30"/>
        <v>medium</v>
      </c>
      <c r="S242" t="str">
        <f t="shared" si="28"/>
        <v>Low</v>
      </c>
      <c r="T242" t="str">
        <f t="shared" si="29"/>
        <v>3</v>
      </c>
      <c r="U242">
        <v>5.4</v>
      </c>
      <c r="V242" t="b">
        <f t="shared" si="31"/>
        <v>1</v>
      </c>
    </row>
    <row r="243" spans="1:22" x14ac:dyDescent="0.25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5.4</v>
      </c>
      <c r="G243" t="s">
        <v>16</v>
      </c>
      <c r="H243" t="s">
        <v>17</v>
      </c>
      <c r="I243">
        <v>6.7</v>
      </c>
      <c r="J243">
        <v>5</v>
      </c>
      <c r="K243" t="s">
        <v>24</v>
      </c>
      <c r="L243">
        <v>3</v>
      </c>
      <c r="M243">
        <v>7</v>
      </c>
      <c r="N243" t="str">
        <f t="shared" si="24"/>
        <v>Instagram</v>
      </c>
      <c r="O243">
        <f t="shared" si="25"/>
        <v>1</v>
      </c>
      <c r="P243" t="str">
        <f t="shared" si="26"/>
        <v>6.7</v>
      </c>
      <c r="Q243" t="str">
        <f t="shared" si="27"/>
        <v>OK</v>
      </c>
      <c r="R243" t="b">
        <f t="shared" si="30"/>
        <v>1</v>
      </c>
      <c r="S243" t="str">
        <f t="shared" si="28"/>
        <v>High</v>
      </c>
      <c r="T243" t="str">
        <f t="shared" si="29"/>
        <v>7</v>
      </c>
      <c r="U243">
        <v>5.4</v>
      </c>
      <c r="V243" t="b">
        <f t="shared" si="31"/>
        <v>1</v>
      </c>
    </row>
    <row r="244" spans="1:22" x14ac:dyDescent="0.25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5.0999999999999996</v>
      </c>
      <c r="G244" t="s">
        <v>141</v>
      </c>
      <c r="H244" t="s">
        <v>17</v>
      </c>
      <c r="I244">
        <v>6.6</v>
      </c>
      <c r="J244">
        <v>6</v>
      </c>
      <c r="K244" t="s">
        <v>18</v>
      </c>
      <c r="L244">
        <v>3</v>
      </c>
      <c r="M244">
        <v>6</v>
      </c>
      <c r="N244" t="str">
        <f t="shared" si="24"/>
        <v>Kakaotalk</v>
      </c>
      <c r="O244">
        <f t="shared" si="25"/>
        <v>1</v>
      </c>
      <c r="P244" t="str">
        <f t="shared" si="26"/>
        <v>6.6</v>
      </c>
      <c r="Q244" t="str">
        <f t="shared" si="27"/>
        <v>OK</v>
      </c>
      <c r="R244" t="str">
        <f t="shared" si="30"/>
        <v>medium</v>
      </c>
      <c r="S244" t="str">
        <f t="shared" si="28"/>
        <v>Medium</v>
      </c>
      <c r="T244" t="str">
        <f t="shared" si="29"/>
        <v>6</v>
      </c>
      <c r="U244">
        <v>5.4</v>
      </c>
      <c r="V244" t="b">
        <f t="shared" si="31"/>
        <v>1</v>
      </c>
    </row>
    <row r="245" spans="1:22" x14ac:dyDescent="0.25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4.7</v>
      </c>
      <c r="G245" t="s">
        <v>142</v>
      </c>
      <c r="H245" t="s">
        <v>23</v>
      </c>
      <c r="I245">
        <v>7.3</v>
      </c>
      <c r="J245">
        <v>7</v>
      </c>
      <c r="K245" t="s">
        <v>24</v>
      </c>
      <c r="L245">
        <v>2</v>
      </c>
      <c r="M245">
        <v>5</v>
      </c>
      <c r="N245" t="str">
        <f t="shared" si="24"/>
        <v>Vkontakte</v>
      </c>
      <c r="O245">
        <f t="shared" si="25"/>
        <v>2</v>
      </c>
      <c r="P245" t="str">
        <f t="shared" si="26"/>
        <v>7.3</v>
      </c>
      <c r="Q245" t="str">
        <f t="shared" si="27"/>
        <v>OK</v>
      </c>
      <c r="R245" t="str">
        <f t="shared" si="30"/>
        <v>medium</v>
      </c>
      <c r="S245" t="str">
        <f t="shared" si="28"/>
        <v>Medium</v>
      </c>
      <c r="T245" t="str">
        <f t="shared" si="29"/>
        <v>5</v>
      </c>
      <c r="U245">
        <v>5.4</v>
      </c>
      <c r="V245" t="b">
        <f t="shared" si="31"/>
        <v>1</v>
      </c>
    </row>
    <row r="246" spans="1:22" x14ac:dyDescent="0.25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6.9</v>
      </c>
      <c r="G246" t="s">
        <v>26</v>
      </c>
      <c r="H246" t="s">
        <v>17</v>
      </c>
      <c r="I246">
        <v>5.7</v>
      </c>
      <c r="J246">
        <v>4</v>
      </c>
      <c r="K246" t="s">
        <v>18</v>
      </c>
      <c r="L246">
        <v>4</v>
      </c>
      <c r="M246">
        <v>9</v>
      </c>
      <c r="N246" t="str">
        <f t="shared" si="24"/>
        <v>Tiktok</v>
      </c>
      <c r="O246">
        <f t="shared" si="25"/>
        <v>2</v>
      </c>
      <c r="P246" t="str">
        <f t="shared" si="26"/>
        <v>5.7</v>
      </c>
      <c r="Q246" t="str">
        <f t="shared" si="27"/>
        <v>OK</v>
      </c>
      <c r="R246" t="b">
        <f t="shared" si="30"/>
        <v>1</v>
      </c>
      <c r="S246" t="str">
        <f t="shared" si="28"/>
        <v>High</v>
      </c>
      <c r="T246" t="str">
        <f t="shared" si="29"/>
        <v>9</v>
      </c>
      <c r="U246">
        <v>5.4</v>
      </c>
      <c r="V246" t="b">
        <f t="shared" si="31"/>
        <v>1</v>
      </c>
    </row>
    <row r="247" spans="1:22" x14ac:dyDescent="0.25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5.7</v>
      </c>
      <c r="G247" t="s">
        <v>16</v>
      </c>
      <c r="H247" t="s">
        <v>17</v>
      </c>
      <c r="I247">
        <v>6.4</v>
      </c>
      <c r="J247">
        <v>6</v>
      </c>
      <c r="K247" t="s">
        <v>24</v>
      </c>
      <c r="L247">
        <v>3</v>
      </c>
      <c r="M247">
        <v>7</v>
      </c>
      <c r="N247" t="str">
        <f t="shared" si="24"/>
        <v>Instagram</v>
      </c>
      <c r="O247">
        <f t="shared" si="25"/>
        <v>1</v>
      </c>
      <c r="P247" t="str">
        <f t="shared" si="26"/>
        <v>6.4</v>
      </c>
      <c r="Q247" t="str">
        <f t="shared" si="27"/>
        <v>OK</v>
      </c>
      <c r="R247" t="b">
        <f t="shared" si="30"/>
        <v>1</v>
      </c>
      <c r="S247" t="str">
        <f t="shared" si="28"/>
        <v>High</v>
      </c>
      <c r="T247" t="str">
        <f t="shared" si="29"/>
        <v>7</v>
      </c>
      <c r="U247">
        <v>5.4</v>
      </c>
      <c r="V247" t="b">
        <f t="shared" si="31"/>
        <v>1</v>
      </c>
    </row>
    <row r="248" spans="1:22" x14ac:dyDescent="0.25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4.8</v>
      </c>
      <c r="G248" t="s">
        <v>32</v>
      </c>
      <c r="H248" t="s">
        <v>23</v>
      </c>
      <c r="I248">
        <v>7.2</v>
      </c>
      <c r="J248">
        <v>7</v>
      </c>
      <c r="K248" t="s">
        <v>18</v>
      </c>
      <c r="L248">
        <v>2</v>
      </c>
      <c r="M248">
        <v>5</v>
      </c>
      <c r="N248" t="str">
        <f t="shared" si="24"/>
        <v>Facebook</v>
      </c>
      <c r="O248">
        <f t="shared" si="25"/>
        <v>0</v>
      </c>
      <c r="P248" t="str">
        <f t="shared" si="26"/>
        <v>7.2</v>
      </c>
      <c r="Q248" t="str">
        <f t="shared" si="27"/>
        <v>OK</v>
      </c>
      <c r="R248" t="str">
        <f t="shared" si="30"/>
        <v>medium</v>
      </c>
      <c r="S248" t="str">
        <f t="shared" si="28"/>
        <v>Medium</v>
      </c>
      <c r="T248" t="str">
        <f t="shared" si="29"/>
        <v>5</v>
      </c>
      <c r="U248">
        <v>5.4</v>
      </c>
      <c r="V248" t="b">
        <f t="shared" si="31"/>
        <v>1</v>
      </c>
    </row>
    <row r="249" spans="1:22" x14ac:dyDescent="0.25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3.9</v>
      </c>
      <c r="G249" t="s">
        <v>16</v>
      </c>
      <c r="H249" t="s">
        <v>23</v>
      </c>
      <c r="I249">
        <v>7.8</v>
      </c>
      <c r="J249">
        <v>8</v>
      </c>
      <c r="K249" t="s">
        <v>24</v>
      </c>
      <c r="L249">
        <v>1</v>
      </c>
      <c r="M249">
        <v>4</v>
      </c>
      <c r="N249" t="str">
        <f t="shared" si="24"/>
        <v>Instagram</v>
      </c>
      <c r="O249">
        <f t="shared" si="25"/>
        <v>1</v>
      </c>
      <c r="P249" t="str">
        <f t="shared" si="26"/>
        <v>7.8</v>
      </c>
      <c r="Q249" t="str">
        <f t="shared" si="27"/>
        <v>OK</v>
      </c>
      <c r="R249" t="str">
        <f t="shared" si="30"/>
        <v>medium</v>
      </c>
      <c r="S249" t="str">
        <f t="shared" si="28"/>
        <v>Low</v>
      </c>
      <c r="T249" t="str">
        <f t="shared" si="29"/>
        <v>4</v>
      </c>
      <c r="U249">
        <v>5.4</v>
      </c>
      <c r="V249" t="b">
        <f t="shared" si="31"/>
        <v>1</v>
      </c>
    </row>
    <row r="250" spans="1:22" x14ac:dyDescent="0.25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3.6</v>
      </c>
      <c r="G250" t="s">
        <v>140</v>
      </c>
      <c r="H250" t="s">
        <v>23</v>
      </c>
      <c r="I250">
        <v>8.1</v>
      </c>
      <c r="J250">
        <v>8</v>
      </c>
      <c r="K250" t="s">
        <v>24</v>
      </c>
      <c r="L250">
        <v>1</v>
      </c>
      <c r="M250">
        <v>3</v>
      </c>
      <c r="N250" t="str">
        <f t="shared" si="24"/>
        <v>Line</v>
      </c>
      <c r="O250">
        <f t="shared" si="25"/>
        <v>0</v>
      </c>
      <c r="P250" t="str">
        <f t="shared" si="26"/>
        <v>8.1</v>
      </c>
      <c r="Q250" t="str">
        <f t="shared" si="27"/>
        <v>OK</v>
      </c>
      <c r="R250" t="str">
        <f t="shared" si="30"/>
        <v>medium</v>
      </c>
      <c r="S250" t="str">
        <f t="shared" si="28"/>
        <v>Low</v>
      </c>
      <c r="T250" t="str">
        <f t="shared" si="29"/>
        <v>3</v>
      </c>
      <c r="U250">
        <v>5.4</v>
      </c>
      <c r="V250" t="b">
        <f t="shared" si="31"/>
        <v>1</v>
      </c>
    </row>
    <row r="251" spans="1:22" x14ac:dyDescent="0.25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5.6</v>
      </c>
      <c r="G251" t="s">
        <v>26</v>
      </c>
      <c r="H251" t="s">
        <v>17</v>
      </c>
      <c r="I251">
        <v>6.6</v>
      </c>
      <c r="J251">
        <v>5</v>
      </c>
      <c r="K251" t="s">
        <v>18</v>
      </c>
      <c r="L251">
        <v>3</v>
      </c>
      <c r="M251">
        <v>8</v>
      </c>
      <c r="N251" t="str">
        <f t="shared" si="24"/>
        <v>Tiktok</v>
      </c>
      <c r="O251">
        <f t="shared" si="25"/>
        <v>2</v>
      </c>
      <c r="P251" t="str">
        <f t="shared" si="26"/>
        <v>6.6</v>
      </c>
      <c r="Q251" t="str">
        <f t="shared" si="27"/>
        <v>OK</v>
      </c>
      <c r="R251" t="b">
        <f t="shared" si="30"/>
        <v>1</v>
      </c>
      <c r="S251" t="str">
        <f t="shared" si="28"/>
        <v>High</v>
      </c>
      <c r="T251" t="str">
        <f t="shared" si="29"/>
        <v>8</v>
      </c>
      <c r="U251">
        <v>5.4</v>
      </c>
      <c r="V251" t="b">
        <f t="shared" si="31"/>
        <v>1</v>
      </c>
    </row>
    <row r="252" spans="1:22" x14ac:dyDescent="0.25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4.9000000000000004</v>
      </c>
      <c r="G252" t="s">
        <v>141</v>
      </c>
      <c r="H252" t="s">
        <v>17</v>
      </c>
      <c r="I252">
        <v>6.9</v>
      </c>
      <c r="J252">
        <v>6</v>
      </c>
      <c r="K252" t="s">
        <v>24</v>
      </c>
      <c r="L252">
        <v>3</v>
      </c>
      <c r="M252">
        <v>6</v>
      </c>
      <c r="N252" t="str">
        <f t="shared" si="24"/>
        <v>Kakaotalk</v>
      </c>
      <c r="O252">
        <f t="shared" si="25"/>
        <v>1</v>
      </c>
      <c r="P252" t="str">
        <f t="shared" si="26"/>
        <v>6.9</v>
      </c>
      <c r="Q252" t="str">
        <f t="shared" si="27"/>
        <v>OK</v>
      </c>
      <c r="R252" t="str">
        <f t="shared" si="30"/>
        <v>medium</v>
      </c>
      <c r="S252" t="str">
        <f t="shared" si="28"/>
        <v>Medium</v>
      </c>
      <c r="T252" t="str">
        <f t="shared" si="29"/>
        <v>6</v>
      </c>
      <c r="U252">
        <v>5.4</v>
      </c>
      <c r="V252" t="b">
        <f t="shared" si="31"/>
        <v>1</v>
      </c>
    </row>
    <row r="253" spans="1:22" x14ac:dyDescent="0.25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4.5999999999999996</v>
      </c>
      <c r="G253" t="s">
        <v>142</v>
      </c>
      <c r="H253" t="s">
        <v>23</v>
      </c>
      <c r="I253">
        <v>7.5</v>
      </c>
      <c r="J253">
        <v>7</v>
      </c>
      <c r="K253" t="s">
        <v>18</v>
      </c>
      <c r="L253">
        <v>2</v>
      </c>
      <c r="M253">
        <v>5</v>
      </c>
      <c r="N253" t="str">
        <f t="shared" si="24"/>
        <v>Vkontakte</v>
      </c>
      <c r="O253">
        <f t="shared" si="25"/>
        <v>2</v>
      </c>
      <c r="P253" t="str">
        <f t="shared" si="26"/>
        <v>7.5</v>
      </c>
      <c r="Q253" t="str">
        <f t="shared" si="27"/>
        <v>OK</v>
      </c>
      <c r="R253" t="str">
        <f t="shared" si="30"/>
        <v>medium</v>
      </c>
      <c r="S253" t="str">
        <f t="shared" si="28"/>
        <v>Medium</v>
      </c>
      <c r="T253" t="str">
        <f t="shared" si="29"/>
        <v>5</v>
      </c>
      <c r="U253">
        <v>5.4</v>
      </c>
      <c r="V253" t="b">
        <f t="shared" si="31"/>
        <v>1</v>
      </c>
    </row>
    <row r="254" spans="1:22" x14ac:dyDescent="0.25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6.7</v>
      </c>
      <c r="G254" t="s">
        <v>16</v>
      </c>
      <c r="H254" t="s">
        <v>17</v>
      </c>
      <c r="I254">
        <v>5.8</v>
      </c>
      <c r="J254">
        <v>4</v>
      </c>
      <c r="K254" t="s">
        <v>24</v>
      </c>
      <c r="L254">
        <v>4</v>
      </c>
      <c r="M254">
        <v>9</v>
      </c>
      <c r="N254" t="str">
        <f t="shared" si="24"/>
        <v>Instagram</v>
      </c>
      <c r="O254">
        <f t="shared" si="25"/>
        <v>1</v>
      </c>
      <c r="P254" t="str">
        <f t="shared" si="26"/>
        <v>5.8</v>
      </c>
      <c r="Q254" t="str">
        <f t="shared" si="27"/>
        <v>OK</v>
      </c>
      <c r="R254" t="b">
        <f t="shared" si="30"/>
        <v>1</v>
      </c>
      <c r="S254" t="str">
        <f t="shared" si="28"/>
        <v>High</v>
      </c>
      <c r="T254" t="str">
        <f t="shared" si="29"/>
        <v>9</v>
      </c>
      <c r="U254">
        <v>5.3</v>
      </c>
      <c r="V254" t="b">
        <f t="shared" si="31"/>
        <v>1</v>
      </c>
    </row>
    <row r="255" spans="1:22" x14ac:dyDescent="0.25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5.4</v>
      </c>
      <c r="G255" t="s">
        <v>32</v>
      </c>
      <c r="H255" t="s">
        <v>17</v>
      </c>
      <c r="I255">
        <v>6.5</v>
      </c>
      <c r="J255">
        <v>6</v>
      </c>
      <c r="K255" t="s">
        <v>18</v>
      </c>
      <c r="L255">
        <v>3</v>
      </c>
      <c r="M255">
        <v>7</v>
      </c>
      <c r="N255" t="str">
        <f t="shared" si="24"/>
        <v>Facebook</v>
      </c>
      <c r="O255">
        <f t="shared" si="25"/>
        <v>0</v>
      </c>
      <c r="P255" t="str">
        <f t="shared" si="26"/>
        <v>6.5</v>
      </c>
      <c r="Q255" t="str">
        <f t="shared" si="27"/>
        <v>OK</v>
      </c>
      <c r="R255" t="b">
        <f t="shared" si="30"/>
        <v>1</v>
      </c>
      <c r="S255" t="str">
        <f t="shared" si="28"/>
        <v>High</v>
      </c>
      <c r="T255" t="str">
        <f t="shared" si="29"/>
        <v>7</v>
      </c>
      <c r="U255">
        <v>5.3</v>
      </c>
      <c r="V255" t="b">
        <f t="shared" si="31"/>
        <v>1</v>
      </c>
    </row>
    <row r="256" spans="1:22" x14ac:dyDescent="0.25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4.4000000000000004</v>
      </c>
      <c r="G256" t="s">
        <v>16</v>
      </c>
      <c r="H256" t="s">
        <v>23</v>
      </c>
      <c r="I256">
        <v>7.4</v>
      </c>
      <c r="J256">
        <v>7</v>
      </c>
      <c r="K256" t="s">
        <v>24</v>
      </c>
      <c r="L256">
        <v>2</v>
      </c>
      <c r="M256">
        <v>5</v>
      </c>
      <c r="N256" t="str">
        <f t="shared" si="24"/>
        <v>Instagram</v>
      </c>
      <c r="O256">
        <f t="shared" si="25"/>
        <v>1</v>
      </c>
      <c r="P256" t="str">
        <f t="shared" si="26"/>
        <v>7.4</v>
      </c>
      <c r="Q256" t="str">
        <f t="shared" si="27"/>
        <v>OK</v>
      </c>
      <c r="R256" t="str">
        <f t="shared" si="30"/>
        <v>medium</v>
      </c>
      <c r="S256" t="str">
        <f t="shared" si="28"/>
        <v>Medium</v>
      </c>
      <c r="T256" t="str">
        <f t="shared" si="29"/>
        <v>5</v>
      </c>
      <c r="U256">
        <v>5.3</v>
      </c>
      <c r="V256" t="b">
        <f t="shared" si="31"/>
        <v>1</v>
      </c>
    </row>
    <row r="257" spans="1:22" x14ac:dyDescent="0.25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4</v>
      </c>
      <c r="G257" t="s">
        <v>32</v>
      </c>
      <c r="H257" t="s">
        <v>23</v>
      </c>
      <c r="I257">
        <v>7.6</v>
      </c>
      <c r="J257">
        <v>8</v>
      </c>
      <c r="K257" t="s">
        <v>18</v>
      </c>
      <c r="L257">
        <v>2</v>
      </c>
      <c r="M257">
        <v>4</v>
      </c>
      <c r="N257" t="str">
        <f t="shared" si="24"/>
        <v>Facebook</v>
      </c>
      <c r="O257">
        <f t="shared" si="25"/>
        <v>0</v>
      </c>
      <c r="P257" t="str">
        <f t="shared" si="26"/>
        <v>7.6</v>
      </c>
      <c r="Q257" t="str">
        <f t="shared" si="27"/>
        <v>OK</v>
      </c>
      <c r="R257" t="str">
        <f t="shared" si="30"/>
        <v>medium</v>
      </c>
      <c r="S257" t="str">
        <f t="shared" si="28"/>
        <v>Low</v>
      </c>
      <c r="T257" t="str">
        <f t="shared" si="29"/>
        <v>4</v>
      </c>
      <c r="U257">
        <v>5.3</v>
      </c>
      <c r="V257" t="b">
        <f t="shared" si="31"/>
        <v>1</v>
      </c>
    </row>
    <row r="258" spans="1:22" x14ac:dyDescent="0.25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3.4</v>
      </c>
      <c r="G258" t="s">
        <v>140</v>
      </c>
      <c r="H258" t="s">
        <v>23</v>
      </c>
      <c r="I258">
        <v>8.1999999999999993</v>
      </c>
      <c r="J258">
        <v>8</v>
      </c>
      <c r="K258" t="s">
        <v>24</v>
      </c>
      <c r="L258">
        <v>1</v>
      </c>
      <c r="M258">
        <v>3</v>
      </c>
      <c r="N258" t="str">
        <f t="shared" ref="N258:N321" si="32">PROPER(G258)</f>
        <v>Line</v>
      </c>
      <c r="O258">
        <f t="shared" ref="O258:O321" si="33">LEN(G258)-LEN(SUBSTITUTE(UPPER(G258),"T",""))</f>
        <v>0</v>
      </c>
      <c r="P258" t="str">
        <f t="shared" ref="P258:P321" si="34">PROPER(I258)</f>
        <v>8.2</v>
      </c>
      <c r="Q258" t="str">
        <f t="shared" ref="Q258:Q321" si="35">(IF(I258&gt;=5,"OK",IF(I258&lt;5,"LESS SLEEP")))</f>
        <v>OK</v>
      </c>
      <c r="R258" t="str">
        <f t="shared" si="30"/>
        <v>medium</v>
      </c>
      <c r="S258" t="str">
        <f t="shared" ref="S258:S321" si="36">IF(M258&gt;=7,"High",IF(AND(M258&gt;4,M258&lt;7),"Medium","Low"))</f>
        <v>Low</v>
      </c>
      <c r="T258" t="str">
        <f t="shared" ref="T258:T321" si="37">PROPER(M258)</f>
        <v>3</v>
      </c>
      <c r="U258">
        <v>5.3</v>
      </c>
      <c r="V258" t="b">
        <f t="shared" si="31"/>
        <v>1</v>
      </c>
    </row>
    <row r="259" spans="1:22" x14ac:dyDescent="0.25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5.3</v>
      </c>
      <c r="G259" t="s">
        <v>16</v>
      </c>
      <c r="H259" t="s">
        <v>17</v>
      </c>
      <c r="I259">
        <v>6.8</v>
      </c>
      <c r="J259">
        <v>5</v>
      </c>
      <c r="K259" t="s">
        <v>24</v>
      </c>
      <c r="L259">
        <v>3</v>
      </c>
      <c r="M259">
        <v>7</v>
      </c>
      <c r="N259" t="str">
        <f t="shared" si="32"/>
        <v>Instagram</v>
      </c>
      <c r="O259">
        <f t="shared" si="33"/>
        <v>1</v>
      </c>
      <c r="P259" t="str">
        <f t="shared" si="34"/>
        <v>6.8</v>
      </c>
      <c r="Q259" t="str">
        <f t="shared" si="35"/>
        <v>OK</v>
      </c>
      <c r="R259" t="b">
        <f t="shared" si="30"/>
        <v>1</v>
      </c>
      <c r="S259" t="str">
        <f t="shared" si="36"/>
        <v>High</v>
      </c>
      <c r="T259" t="str">
        <f t="shared" si="37"/>
        <v>7</v>
      </c>
      <c r="U259">
        <v>5.3</v>
      </c>
      <c r="V259" t="b">
        <f t="shared" si="31"/>
        <v>1</v>
      </c>
    </row>
    <row r="260" spans="1:22" x14ac:dyDescent="0.25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5</v>
      </c>
      <c r="G260" t="s">
        <v>141</v>
      </c>
      <c r="H260" t="s">
        <v>17</v>
      </c>
      <c r="I260">
        <v>6.7</v>
      </c>
      <c r="J260">
        <v>6</v>
      </c>
      <c r="K260" t="s">
        <v>18</v>
      </c>
      <c r="L260">
        <v>3</v>
      </c>
      <c r="M260">
        <v>6</v>
      </c>
      <c r="N260" t="str">
        <f t="shared" si="32"/>
        <v>Kakaotalk</v>
      </c>
      <c r="O260">
        <f t="shared" si="33"/>
        <v>1</v>
      </c>
      <c r="P260" t="str">
        <f t="shared" si="34"/>
        <v>6.7</v>
      </c>
      <c r="Q260" t="str">
        <f t="shared" si="35"/>
        <v>OK</v>
      </c>
      <c r="R260" t="str">
        <f t="shared" ref="R260:R323" si="38">IF(M260&gt;=7,"High"&amp;M260&gt;=4,"medium")</f>
        <v>medium</v>
      </c>
      <c r="S260" t="str">
        <f t="shared" si="36"/>
        <v>Medium</v>
      </c>
      <c r="T260" t="str">
        <f t="shared" si="37"/>
        <v>6</v>
      </c>
      <c r="U260">
        <v>5.3</v>
      </c>
      <c r="V260" t="b">
        <f t="shared" ref="V260:V323" si="39">IF(Q260&gt;=7,"High"&amp;Q260&gt;=4,"medium")</f>
        <v>1</v>
      </c>
    </row>
    <row r="261" spans="1:22" x14ac:dyDescent="0.25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4.4000000000000004</v>
      </c>
      <c r="G261" t="s">
        <v>142</v>
      </c>
      <c r="H261" t="s">
        <v>23</v>
      </c>
      <c r="I261">
        <v>7.6</v>
      </c>
      <c r="J261">
        <v>7</v>
      </c>
      <c r="K261" t="s">
        <v>24</v>
      </c>
      <c r="L261">
        <v>2</v>
      </c>
      <c r="M261">
        <v>5</v>
      </c>
      <c r="N261" t="str">
        <f t="shared" si="32"/>
        <v>Vkontakte</v>
      </c>
      <c r="O261">
        <f t="shared" si="33"/>
        <v>2</v>
      </c>
      <c r="P261" t="str">
        <f t="shared" si="34"/>
        <v>7.6</v>
      </c>
      <c r="Q261" t="str">
        <f t="shared" si="35"/>
        <v>OK</v>
      </c>
      <c r="R261" t="str">
        <f t="shared" si="38"/>
        <v>medium</v>
      </c>
      <c r="S261" t="str">
        <f t="shared" si="36"/>
        <v>Medium</v>
      </c>
      <c r="T261" t="str">
        <f t="shared" si="37"/>
        <v>5</v>
      </c>
      <c r="U261">
        <v>5.3</v>
      </c>
      <c r="V261" t="b">
        <f t="shared" si="39"/>
        <v>1</v>
      </c>
    </row>
    <row r="262" spans="1:22" x14ac:dyDescent="0.25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6.6</v>
      </c>
      <c r="G262" t="s">
        <v>26</v>
      </c>
      <c r="H262" t="s">
        <v>17</v>
      </c>
      <c r="I262">
        <v>5.6</v>
      </c>
      <c r="J262">
        <v>4</v>
      </c>
      <c r="K262" t="s">
        <v>18</v>
      </c>
      <c r="L262">
        <v>4</v>
      </c>
      <c r="M262">
        <v>9</v>
      </c>
      <c r="N262" t="str">
        <f t="shared" si="32"/>
        <v>Tiktok</v>
      </c>
      <c r="O262">
        <f t="shared" si="33"/>
        <v>2</v>
      </c>
      <c r="P262" t="str">
        <f t="shared" si="34"/>
        <v>5.6</v>
      </c>
      <c r="Q262" t="str">
        <f t="shared" si="35"/>
        <v>OK</v>
      </c>
      <c r="R262" t="b">
        <f t="shared" si="38"/>
        <v>1</v>
      </c>
      <c r="S262" t="str">
        <f t="shared" si="36"/>
        <v>High</v>
      </c>
      <c r="T262" t="str">
        <f t="shared" si="37"/>
        <v>9</v>
      </c>
      <c r="U262">
        <v>5.3</v>
      </c>
      <c r="V262" t="b">
        <f t="shared" si="39"/>
        <v>1</v>
      </c>
    </row>
    <row r="263" spans="1:22" x14ac:dyDescent="0.25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5.3</v>
      </c>
      <c r="G263" t="s">
        <v>16</v>
      </c>
      <c r="H263" t="s">
        <v>17</v>
      </c>
      <c r="I263">
        <v>6.3</v>
      </c>
      <c r="J263">
        <v>6</v>
      </c>
      <c r="K263" t="s">
        <v>24</v>
      </c>
      <c r="L263">
        <v>3</v>
      </c>
      <c r="M263">
        <v>7</v>
      </c>
      <c r="N263" t="str">
        <f t="shared" si="32"/>
        <v>Instagram</v>
      </c>
      <c r="O263">
        <f t="shared" si="33"/>
        <v>1</v>
      </c>
      <c r="P263" t="str">
        <f t="shared" si="34"/>
        <v>6.3</v>
      </c>
      <c r="Q263" t="str">
        <f t="shared" si="35"/>
        <v>OK</v>
      </c>
      <c r="R263" t="b">
        <f t="shared" si="38"/>
        <v>1</v>
      </c>
      <c r="S263" t="str">
        <f t="shared" si="36"/>
        <v>High</v>
      </c>
      <c r="T263" t="str">
        <f t="shared" si="37"/>
        <v>7</v>
      </c>
      <c r="U263">
        <v>5.3</v>
      </c>
      <c r="V263" t="b">
        <f t="shared" si="39"/>
        <v>1</v>
      </c>
    </row>
    <row r="264" spans="1:22" x14ac:dyDescent="0.25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4.3</v>
      </c>
      <c r="G264" t="s">
        <v>32</v>
      </c>
      <c r="H264" t="s">
        <v>23</v>
      </c>
      <c r="I264">
        <v>7.5</v>
      </c>
      <c r="J264">
        <v>7</v>
      </c>
      <c r="K264" t="s">
        <v>18</v>
      </c>
      <c r="L264">
        <v>2</v>
      </c>
      <c r="M264">
        <v>5</v>
      </c>
      <c r="N264" t="str">
        <f t="shared" si="32"/>
        <v>Facebook</v>
      </c>
      <c r="O264">
        <f t="shared" si="33"/>
        <v>0</v>
      </c>
      <c r="P264" t="str">
        <f t="shared" si="34"/>
        <v>7.5</v>
      </c>
      <c r="Q264" t="str">
        <f t="shared" si="35"/>
        <v>OK</v>
      </c>
      <c r="R264" t="str">
        <f t="shared" si="38"/>
        <v>medium</v>
      </c>
      <c r="S264" t="str">
        <f t="shared" si="36"/>
        <v>Medium</v>
      </c>
      <c r="T264" t="str">
        <f t="shared" si="37"/>
        <v>5</v>
      </c>
      <c r="U264">
        <v>5.3</v>
      </c>
      <c r="V264" t="b">
        <f t="shared" si="39"/>
        <v>1</v>
      </c>
    </row>
    <row r="265" spans="1:22" x14ac:dyDescent="0.25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3.8</v>
      </c>
      <c r="G265" t="s">
        <v>16</v>
      </c>
      <c r="H265" t="s">
        <v>23</v>
      </c>
      <c r="I265">
        <v>7.7</v>
      </c>
      <c r="J265">
        <v>8</v>
      </c>
      <c r="K265" t="s">
        <v>24</v>
      </c>
      <c r="L265">
        <v>1</v>
      </c>
      <c r="M265">
        <v>4</v>
      </c>
      <c r="N265" t="str">
        <f t="shared" si="32"/>
        <v>Instagram</v>
      </c>
      <c r="O265">
        <f t="shared" si="33"/>
        <v>1</v>
      </c>
      <c r="P265" t="str">
        <f t="shared" si="34"/>
        <v>7.7</v>
      </c>
      <c r="Q265" t="str">
        <f t="shared" si="35"/>
        <v>OK</v>
      </c>
      <c r="R265" t="str">
        <f t="shared" si="38"/>
        <v>medium</v>
      </c>
      <c r="S265" t="str">
        <f t="shared" si="36"/>
        <v>Low</v>
      </c>
      <c r="T265" t="str">
        <f t="shared" si="37"/>
        <v>4</v>
      </c>
      <c r="U265">
        <v>5.3</v>
      </c>
      <c r="V265" t="b">
        <f t="shared" si="39"/>
        <v>1</v>
      </c>
    </row>
    <row r="266" spans="1:22" x14ac:dyDescent="0.25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3.3</v>
      </c>
      <c r="G266" t="s">
        <v>140</v>
      </c>
      <c r="H266" t="s">
        <v>23</v>
      </c>
      <c r="I266">
        <v>8.3000000000000007</v>
      </c>
      <c r="J266">
        <v>8</v>
      </c>
      <c r="K266" t="s">
        <v>24</v>
      </c>
      <c r="L266">
        <v>1</v>
      </c>
      <c r="M266">
        <v>3</v>
      </c>
      <c r="N266" t="str">
        <f t="shared" si="32"/>
        <v>Line</v>
      </c>
      <c r="O266">
        <f t="shared" si="33"/>
        <v>0</v>
      </c>
      <c r="P266" t="str">
        <f t="shared" si="34"/>
        <v>8.3</v>
      </c>
      <c r="Q266" t="str">
        <f t="shared" si="35"/>
        <v>OK</v>
      </c>
      <c r="R266" t="str">
        <f t="shared" si="38"/>
        <v>medium</v>
      </c>
      <c r="S266" t="str">
        <f t="shared" si="36"/>
        <v>Low</v>
      </c>
      <c r="T266" t="str">
        <f t="shared" si="37"/>
        <v>3</v>
      </c>
      <c r="U266">
        <v>5.3</v>
      </c>
      <c r="V266" t="b">
        <f t="shared" si="39"/>
        <v>1</v>
      </c>
    </row>
    <row r="267" spans="1:22" x14ac:dyDescent="0.25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5.2</v>
      </c>
      <c r="G267" t="s">
        <v>26</v>
      </c>
      <c r="H267" t="s">
        <v>17</v>
      </c>
      <c r="I267">
        <v>6.9</v>
      </c>
      <c r="J267">
        <v>5</v>
      </c>
      <c r="K267" t="s">
        <v>18</v>
      </c>
      <c r="L267">
        <v>3</v>
      </c>
      <c r="M267">
        <v>8</v>
      </c>
      <c r="N267" t="str">
        <f t="shared" si="32"/>
        <v>Tiktok</v>
      </c>
      <c r="O267">
        <f t="shared" si="33"/>
        <v>2</v>
      </c>
      <c r="P267" t="str">
        <f t="shared" si="34"/>
        <v>6.9</v>
      </c>
      <c r="Q267" t="str">
        <f t="shared" si="35"/>
        <v>OK</v>
      </c>
      <c r="R267" t="b">
        <f t="shared" si="38"/>
        <v>1</v>
      </c>
      <c r="S267" t="str">
        <f t="shared" si="36"/>
        <v>High</v>
      </c>
      <c r="T267" t="str">
        <f t="shared" si="37"/>
        <v>8</v>
      </c>
      <c r="U267">
        <v>5.3</v>
      </c>
      <c r="V267" t="b">
        <f t="shared" si="39"/>
        <v>1</v>
      </c>
    </row>
    <row r="268" spans="1:22" x14ac:dyDescent="0.25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4.8</v>
      </c>
      <c r="G268" t="s">
        <v>141</v>
      </c>
      <c r="H268" t="s">
        <v>17</v>
      </c>
      <c r="I268">
        <v>7</v>
      </c>
      <c r="J268">
        <v>6</v>
      </c>
      <c r="K268" t="s">
        <v>24</v>
      </c>
      <c r="L268">
        <v>3</v>
      </c>
      <c r="M268">
        <v>6</v>
      </c>
      <c r="N268" t="str">
        <f t="shared" si="32"/>
        <v>Kakaotalk</v>
      </c>
      <c r="O268">
        <f t="shared" si="33"/>
        <v>1</v>
      </c>
      <c r="P268" t="str">
        <f t="shared" si="34"/>
        <v>7</v>
      </c>
      <c r="Q268" t="str">
        <f t="shared" si="35"/>
        <v>OK</v>
      </c>
      <c r="R268" t="str">
        <f t="shared" si="38"/>
        <v>medium</v>
      </c>
      <c r="S268" t="str">
        <f t="shared" si="36"/>
        <v>Medium</v>
      </c>
      <c r="T268" t="str">
        <f t="shared" si="37"/>
        <v>6</v>
      </c>
      <c r="U268" s="1">
        <v>5.2</v>
      </c>
      <c r="V268" t="b">
        <f t="shared" si="39"/>
        <v>1</v>
      </c>
    </row>
    <row r="269" spans="1:22" x14ac:dyDescent="0.25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4.3</v>
      </c>
      <c r="G269" t="s">
        <v>142</v>
      </c>
      <c r="H269" t="s">
        <v>23</v>
      </c>
      <c r="I269">
        <v>7.7</v>
      </c>
      <c r="J269">
        <v>7</v>
      </c>
      <c r="K269" t="s">
        <v>18</v>
      </c>
      <c r="L269">
        <v>2</v>
      </c>
      <c r="M269">
        <v>5</v>
      </c>
      <c r="N269" t="str">
        <f t="shared" si="32"/>
        <v>Vkontakte</v>
      </c>
      <c r="O269">
        <f t="shared" si="33"/>
        <v>2</v>
      </c>
      <c r="P269" t="str">
        <f t="shared" si="34"/>
        <v>7.7</v>
      </c>
      <c r="Q269" t="str">
        <f t="shared" si="35"/>
        <v>OK</v>
      </c>
      <c r="R269" t="str">
        <f t="shared" si="38"/>
        <v>medium</v>
      </c>
      <c r="S269" t="str">
        <f t="shared" si="36"/>
        <v>Medium</v>
      </c>
      <c r="T269" t="str">
        <f t="shared" si="37"/>
        <v>5</v>
      </c>
      <c r="U269">
        <v>5.2</v>
      </c>
      <c r="V269" t="b">
        <f t="shared" si="39"/>
        <v>1</v>
      </c>
    </row>
    <row r="270" spans="1:22" x14ac:dyDescent="0.25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6.4</v>
      </c>
      <c r="G270" t="s">
        <v>16</v>
      </c>
      <c r="H270" t="s">
        <v>17</v>
      </c>
      <c r="I270">
        <v>5.7</v>
      </c>
      <c r="J270">
        <v>4</v>
      </c>
      <c r="K270" t="s">
        <v>24</v>
      </c>
      <c r="L270">
        <v>4</v>
      </c>
      <c r="M270">
        <v>9</v>
      </c>
      <c r="N270" t="str">
        <f t="shared" si="32"/>
        <v>Instagram</v>
      </c>
      <c r="O270">
        <f t="shared" si="33"/>
        <v>1</v>
      </c>
      <c r="P270" t="str">
        <f t="shared" si="34"/>
        <v>5.7</v>
      </c>
      <c r="Q270" t="str">
        <f t="shared" si="35"/>
        <v>OK</v>
      </c>
      <c r="R270" t="b">
        <f t="shared" si="38"/>
        <v>1</v>
      </c>
      <c r="S270" t="str">
        <f t="shared" si="36"/>
        <v>High</v>
      </c>
      <c r="T270" t="str">
        <f t="shared" si="37"/>
        <v>9</v>
      </c>
      <c r="U270">
        <v>5.2</v>
      </c>
      <c r="V270" t="b">
        <f t="shared" si="39"/>
        <v>1</v>
      </c>
    </row>
    <row r="271" spans="1:22" x14ac:dyDescent="0.25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5.2</v>
      </c>
      <c r="G271" t="s">
        <v>32</v>
      </c>
      <c r="H271" t="s">
        <v>17</v>
      </c>
      <c r="I271">
        <v>6.4</v>
      </c>
      <c r="J271">
        <v>6</v>
      </c>
      <c r="K271" t="s">
        <v>18</v>
      </c>
      <c r="L271">
        <v>3</v>
      </c>
      <c r="M271">
        <v>7</v>
      </c>
      <c r="N271" t="str">
        <f t="shared" si="32"/>
        <v>Facebook</v>
      </c>
      <c r="O271">
        <f t="shared" si="33"/>
        <v>0</v>
      </c>
      <c r="P271" t="str">
        <f t="shared" si="34"/>
        <v>6.4</v>
      </c>
      <c r="Q271" t="str">
        <f t="shared" si="35"/>
        <v>OK</v>
      </c>
      <c r="R271" t="b">
        <f t="shared" si="38"/>
        <v>1</v>
      </c>
      <c r="S271" t="str">
        <f t="shared" si="36"/>
        <v>High</v>
      </c>
      <c r="T271" t="str">
        <f t="shared" si="37"/>
        <v>7</v>
      </c>
      <c r="U271">
        <v>5.2</v>
      </c>
      <c r="V271" t="b">
        <f t="shared" si="39"/>
        <v>1</v>
      </c>
    </row>
    <row r="272" spans="1:22" x14ac:dyDescent="0.25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4.5</v>
      </c>
      <c r="G272" t="s">
        <v>16</v>
      </c>
      <c r="H272" t="s">
        <v>23</v>
      </c>
      <c r="I272">
        <v>7.3</v>
      </c>
      <c r="J272">
        <v>7</v>
      </c>
      <c r="K272" t="s">
        <v>24</v>
      </c>
      <c r="L272">
        <v>2</v>
      </c>
      <c r="M272">
        <v>5</v>
      </c>
      <c r="N272" t="str">
        <f t="shared" si="32"/>
        <v>Instagram</v>
      </c>
      <c r="O272">
        <f t="shared" si="33"/>
        <v>1</v>
      </c>
      <c r="P272" t="str">
        <f t="shared" si="34"/>
        <v>7.3</v>
      </c>
      <c r="Q272" t="str">
        <f t="shared" si="35"/>
        <v>OK</v>
      </c>
      <c r="R272" t="str">
        <f t="shared" si="38"/>
        <v>medium</v>
      </c>
      <c r="S272" t="str">
        <f t="shared" si="36"/>
        <v>Medium</v>
      </c>
      <c r="T272" t="str">
        <f t="shared" si="37"/>
        <v>5</v>
      </c>
      <c r="U272">
        <v>5.2</v>
      </c>
      <c r="V272" t="b">
        <f t="shared" si="39"/>
        <v>1</v>
      </c>
    </row>
    <row r="273" spans="1:22" x14ac:dyDescent="0.25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3.7</v>
      </c>
      <c r="G273" t="s">
        <v>32</v>
      </c>
      <c r="H273" t="s">
        <v>23</v>
      </c>
      <c r="I273">
        <v>7.8</v>
      </c>
      <c r="J273">
        <v>8</v>
      </c>
      <c r="K273" t="s">
        <v>18</v>
      </c>
      <c r="L273">
        <v>1</v>
      </c>
      <c r="M273">
        <v>4</v>
      </c>
      <c r="N273" t="str">
        <f t="shared" si="32"/>
        <v>Facebook</v>
      </c>
      <c r="O273">
        <f t="shared" si="33"/>
        <v>0</v>
      </c>
      <c r="P273" t="str">
        <f t="shared" si="34"/>
        <v>7.8</v>
      </c>
      <c r="Q273" t="str">
        <f t="shared" si="35"/>
        <v>OK</v>
      </c>
      <c r="R273" t="str">
        <f t="shared" si="38"/>
        <v>medium</v>
      </c>
      <c r="S273" t="str">
        <f t="shared" si="36"/>
        <v>Low</v>
      </c>
      <c r="T273" t="str">
        <f t="shared" si="37"/>
        <v>4</v>
      </c>
      <c r="U273">
        <v>5.2</v>
      </c>
      <c r="V273" t="b">
        <f t="shared" si="39"/>
        <v>1</v>
      </c>
    </row>
    <row r="274" spans="1:22" x14ac:dyDescent="0.25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3.2</v>
      </c>
      <c r="G274" t="s">
        <v>140</v>
      </c>
      <c r="H274" t="s">
        <v>23</v>
      </c>
      <c r="I274">
        <v>8.4</v>
      </c>
      <c r="J274">
        <v>8</v>
      </c>
      <c r="K274" t="s">
        <v>24</v>
      </c>
      <c r="L274">
        <v>1</v>
      </c>
      <c r="M274">
        <v>3</v>
      </c>
      <c r="N274" t="str">
        <f t="shared" si="32"/>
        <v>Line</v>
      </c>
      <c r="O274">
        <f t="shared" si="33"/>
        <v>0</v>
      </c>
      <c r="P274" t="str">
        <f t="shared" si="34"/>
        <v>8.4</v>
      </c>
      <c r="Q274" t="str">
        <f t="shared" si="35"/>
        <v>OK</v>
      </c>
      <c r="R274" t="str">
        <f t="shared" si="38"/>
        <v>medium</v>
      </c>
      <c r="S274" t="str">
        <f t="shared" si="36"/>
        <v>Low</v>
      </c>
      <c r="T274" t="str">
        <f t="shared" si="37"/>
        <v>3</v>
      </c>
      <c r="U274">
        <v>5.2</v>
      </c>
      <c r="V274" t="b">
        <f t="shared" si="39"/>
        <v>1</v>
      </c>
    </row>
    <row r="275" spans="1:22" x14ac:dyDescent="0.25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5.4</v>
      </c>
      <c r="G275" t="s">
        <v>16</v>
      </c>
      <c r="H275" t="s">
        <v>17</v>
      </c>
      <c r="I275">
        <v>6.7</v>
      </c>
      <c r="J275">
        <v>5</v>
      </c>
      <c r="K275" t="s">
        <v>24</v>
      </c>
      <c r="L275">
        <v>3</v>
      </c>
      <c r="M275">
        <v>7</v>
      </c>
      <c r="N275" t="str">
        <f t="shared" si="32"/>
        <v>Instagram</v>
      </c>
      <c r="O275">
        <f t="shared" si="33"/>
        <v>1</v>
      </c>
      <c r="P275" t="str">
        <f t="shared" si="34"/>
        <v>6.7</v>
      </c>
      <c r="Q275" t="str">
        <f t="shared" si="35"/>
        <v>OK</v>
      </c>
      <c r="R275" t="b">
        <f t="shared" si="38"/>
        <v>1</v>
      </c>
      <c r="S275" t="str">
        <f t="shared" si="36"/>
        <v>High</v>
      </c>
      <c r="T275" t="str">
        <f t="shared" si="37"/>
        <v>7</v>
      </c>
      <c r="U275">
        <v>5.2</v>
      </c>
      <c r="V275" t="b">
        <f t="shared" si="39"/>
        <v>1</v>
      </c>
    </row>
    <row r="276" spans="1:22" x14ac:dyDescent="0.25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4.7</v>
      </c>
      <c r="G276" t="s">
        <v>141</v>
      </c>
      <c r="H276" t="s">
        <v>17</v>
      </c>
      <c r="I276">
        <v>7.1</v>
      </c>
      <c r="J276">
        <v>6</v>
      </c>
      <c r="K276" t="s">
        <v>18</v>
      </c>
      <c r="L276">
        <v>3</v>
      </c>
      <c r="M276">
        <v>6</v>
      </c>
      <c r="N276" t="str">
        <f t="shared" si="32"/>
        <v>Kakaotalk</v>
      </c>
      <c r="O276">
        <f t="shared" si="33"/>
        <v>1</v>
      </c>
      <c r="P276" t="str">
        <f t="shared" si="34"/>
        <v>7.1</v>
      </c>
      <c r="Q276" t="str">
        <f t="shared" si="35"/>
        <v>OK</v>
      </c>
      <c r="R276" t="str">
        <f t="shared" si="38"/>
        <v>medium</v>
      </c>
      <c r="S276" t="str">
        <f t="shared" si="36"/>
        <v>Medium</v>
      </c>
      <c r="T276" t="str">
        <f t="shared" si="37"/>
        <v>6</v>
      </c>
      <c r="U276">
        <v>5.2</v>
      </c>
      <c r="V276" t="b">
        <f t="shared" si="39"/>
        <v>1</v>
      </c>
    </row>
    <row r="277" spans="1:22" x14ac:dyDescent="0.25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4.2</v>
      </c>
      <c r="G277" t="s">
        <v>142</v>
      </c>
      <c r="H277" t="s">
        <v>23</v>
      </c>
      <c r="I277">
        <v>7.8</v>
      </c>
      <c r="J277">
        <v>7</v>
      </c>
      <c r="K277" t="s">
        <v>24</v>
      </c>
      <c r="L277">
        <v>2</v>
      </c>
      <c r="M277">
        <v>5</v>
      </c>
      <c r="N277" t="str">
        <f t="shared" si="32"/>
        <v>Vkontakte</v>
      </c>
      <c r="O277">
        <f t="shared" si="33"/>
        <v>2</v>
      </c>
      <c r="P277" t="str">
        <f t="shared" si="34"/>
        <v>7.8</v>
      </c>
      <c r="Q277" t="str">
        <f t="shared" si="35"/>
        <v>OK</v>
      </c>
      <c r="R277" t="str">
        <f t="shared" si="38"/>
        <v>medium</v>
      </c>
      <c r="S277" t="str">
        <f t="shared" si="36"/>
        <v>Medium</v>
      </c>
      <c r="T277" t="str">
        <f t="shared" si="37"/>
        <v>5</v>
      </c>
      <c r="U277">
        <v>5.2</v>
      </c>
      <c r="V277" t="b">
        <f t="shared" si="39"/>
        <v>1</v>
      </c>
    </row>
    <row r="278" spans="1:22" x14ac:dyDescent="0.25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6.6</v>
      </c>
      <c r="G278" t="s">
        <v>26</v>
      </c>
      <c r="H278" t="s">
        <v>17</v>
      </c>
      <c r="I278">
        <v>5.5</v>
      </c>
      <c r="J278">
        <v>4</v>
      </c>
      <c r="K278" t="s">
        <v>18</v>
      </c>
      <c r="L278">
        <v>4</v>
      </c>
      <c r="M278">
        <v>9</v>
      </c>
      <c r="N278" t="str">
        <f t="shared" si="32"/>
        <v>Tiktok</v>
      </c>
      <c r="O278">
        <f t="shared" si="33"/>
        <v>2</v>
      </c>
      <c r="P278" t="str">
        <f t="shared" si="34"/>
        <v>5.5</v>
      </c>
      <c r="Q278" t="str">
        <f t="shared" si="35"/>
        <v>OK</v>
      </c>
      <c r="R278" t="b">
        <f t="shared" si="38"/>
        <v>1</v>
      </c>
      <c r="S278" t="str">
        <f t="shared" si="36"/>
        <v>High</v>
      </c>
      <c r="T278" t="str">
        <f t="shared" si="37"/>
        <v>9</v>
      </c>
      <c r="U278">
        <v>5.2</v>
      </c>
      <c r="V278" t="b">
        <f t="shared" si="39"/>
        <v>1</v>
      </c>
    </row>
    <row r="279" spans="1:22" x14ac:dyDescent="0.25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5.0999999999999996</v>
      </c>
      <c r="G279" t="s">
        <v>16</v>
      </c>
      <c r="H279" t="s">
        <v>17</v>
      </c>
      <c r="I279">
        <v>6.5</v>
      </c>
      <c r="J279">
        <v>6</v>
      </c>
      <c r="K279" t="s">
        <v>24</v>
      </c>
      <c r="L279">
        <v>3</v>
      </c>
      <c r="M279">
        <v>7</v>
      </c>
      <c r="N279" t="str">
        <f t="shared" si="32"/>
        <v>Instagram</v>
      </c>
      <c r="O279">
        <f t="shared" si="33"/>
        <v>1</v>
      </c>
      <c r="P279" t="str">
        <f t="shared" si="34"/>
        <v>6.5</v>
      </c>
      <c r="Q279" t="str">
        <f t="shared" si="35"/>
        <v>OK</v>
      </c>
      <c r="R279" t="b">
        <f t="shared" si="38"/>
        <v>1</v>
      </c>
      <c r="S279" t="str">
        <f t="shared" si="36"/>
        <v>High</v>
      </c>
      <c r="T279" t="str">
        <f t="shared" si="37"/>
        <v>7</v>
      </c>
      <c r="U279">
        <v>5.2</v>
      </c>
      <c r="V279" t="b">
        <f t="shared" si="39"/>
        <v>1</v>
      </c>
    </row>
    <row r="280" spans="1:22" x14ac:dyDescent="0.25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4.4000000000000004</v>
      </c>
      <c r="G280" t="s">
        <v>32</v>
      </c>
      <c r="H280" t="s">
        <v>23</v>
      </c>
      <c r="I280">
        <v>7.4</v>
      </c>
      <c r="J280">
        <v>7</v>
      </c>
      <c r="K280" t="s">
        <v>18</v>
      </c>
      <c r="L280">
        <v>2</v>
      </c>
      <c r="M280">
        <v>5</v>
      </c>
      <c r="N280" t="str">
        <f t="shared" si="32"/>
        <v>Facebook</v>
      </c>
      <c r="O280">
        <f t="shared" si="33"/>
        <v>0</v>
      </c>
      <c r="P280" t="str">
        <f t="shared" si="34"/>
        <v>7.4</v>
      </c>
      <c r="Q280" t="str">
        <f t="shared" si="35"/>
        <v>OK</v>
      </c>
      <c r="R280" t="str">
        <f t="shared" si="38"/>
        <v>medium</v>
      </c>
      <c r="S280" t="str">
        <f t="shared" si="36"/>
        <v>Medium</v>
      </c>
      <c r="T280" t="str">
        <f t="shared" si="37"/>
        <v>5</v>
      </c>
      <c r="U280">
        <v>5.2</v>
      </c>
      <c r="V280" t="b">
        <f t="shared" si="39"/>
        <v>1</v>
      </c>
    </row>
    <row r="281" spans="1:22" x14ac:dyDescent="0.25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3.6</v>
      </c>
      <c r="G281" t="s">
        <v>16</v>
      </c>
      <c r="H281" t="s">
        <v>23</v>
      </c>
      <c r="I281">
        <v>7.9</v>
      </c>
      <c r="J281">
        <v>8</v>
      </c>
      <c r="K281" t="s">
        <v>24</v>
      </c>
      <c r="L281">
        <v>1</v>
      </c>
      <c r="M281">
        <v>4</v>
      </c>
      <c r="N281" t="str">
        <f t="shared" si="32"/>
        <v>Instagram</v>
      </c>
      <c r="O281">
        <f t="shared" si="33"/>
        <v>1</v>
      </c>
      <c r="P281" t="str">
        <f t="shared" si="34"/>
        <v>7.9</v>
      </c>
      <c r="Q281" t="str">
        <f t="shared" si="35"/>
        <v>OK</v>
      </c>
      <c r="R281" t="str">
        <f t="shared" si="38"/>
        <v>medium</v>
      </c>
      <c r="S281" t="str">
        <f t="shared" si="36"/>
        <v>Low</v>
      </c>
      <c r="T281" t="str">
        <f t="shared" si="37"/>
        <v>4</v>
      </c>
      <c r="U281">
        <v>5.2</v>
      </c>
      <c r="V281" t="b">
        <f t="shared" si="39"/>
        <v>1</v>
      </c>
    </row>
    <row r="282" spans="1:22" x14ac:dyDescent="0.25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3.1</v>
      </c>
      <c r="G282" t="s">
        <v>140</v>
      </c>
      <c r="H282" t="s">
        <v>23</v>
      </c>
      <c r="I282">
        <v>8.5</v>
      </c>
      <c r="J282">
        <v>8</v>
      </c>
      <c r="K282" t="s">
        <v>24</v>
      </c>
      <c r="L282">
        <v>1</v>
      </c>
      <c r="M282">
        <v>3</v>
      </c>
      <c r="N282" t="str">
        <f t="shared" si="32"/>
        <v>Line</v>
      </c>
      <c r="O282">
        <f t="shared" si="33"/>
        <v>0</v>
      </c>
      <c r="P282" t="str">
        <f t="shared" si="34"/>
        <v>8.5</v>
      </c>
      <c r="Q282" t="str">
        <f t="shared" si="35"/>
        <v>OK</v>
      </c>
      <c r="R282" t="str">
        <f t="shared" si="38"/>
        <v>medium</v>
      </c>
      <c r="S282" t="str">
        <f t="shared" si="36"/>
        <v>Low</v>
      </c>
      <c r="T282" t="str">
        <f t="shared" si="37"/>
        <v>3</v>
      </c>
      <c r="U282">
        <v>5.2</v>
      </c>
      <c r="V282" t="b">
        <f t="shared" si="39"/>
        <v>1</v>
      </c>
    </row>
    <row r="283" spans="1:22" x14ac:dyDescent="0.25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5.3</v>
      </c>
      <c r="G283" t="s">
        <v>26</v>
      </c>
      <c r="H283" t="s">
        <v>17</v>
      </c>
      <c r="I283">
        <v>6.8</v>
      </c>
      <c r="J283">
        <v>5</v>
      </c>
      <c r="K283" t="s">
        <v>18</v>
      </c>
      <c r="L283">
        <v>3</v>
      </c>
      <c r="M283">
        <v>8</v>
      </c>
      <c r="N283" t="str">
        <f t="shared" si="32"/>
        <v>Tiktok</v>
      </c>
      <c r="O283">
        <f t="shared" si="33"/>
        <v>2</v>
      </c>
      <c r="P283" t="str">
        <f t="shared" si="34"/>
        <v>6.8</v>
      </c>
      <c r="Q283" t="str">
        <f t="shared" si="35"/>
        <v>OK</v>
      </c>
      <c r="R283" t="b">
        <f t="shared" si="38"/>
        <v>1</v>
      </c>
      <c r="S283" t="str">
        <f t="shared" si="36"/>
        <v>High</v>
      </c>
      <c r="T283" t="str">
        <f t="shared" si="37"/>
        <v>8</v>
      </c>
      <c r="U283">
        <v>5.0999999999999996</v>
      </c>
      <c r="V283" t="b">
        <f t="shared" si="39"/>
        <v>1</v>
      </c>
    </row>
    <row r="284" spans="1:22" x14ac:dyDescent="0.25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4.5999999999999996</v>
      </c>
      <c r="G284" t="s">
        <v>141</v>
      </c>
      <c r="H284" t="s">
        <v>17</v>
      </c>
      <c r="I284">
        <v>7.2</v>
      </c>
      <c r="J284">
        <v>6</v>
      </c>
      <c r="K284" t="s">
        <v>24</v>
      </c>
      <c r="L284">
        <v>3</v>
      </c>
      <c r="M284">
        <v>6</v>
      </c>
      <c r="N284" t="str">
        <f t="shared" si="32"/>
        <v>Kakaotalk</v>
      </c>
      <c r="O284">
        <f t="shared" si="33"/>
        <v>1</v>
      </c>
      <c r="P284" t="str">
        <f t="shared" si="34"/>
        <v>7.2</v>
      </c>
      <c r="Q284" t="str">
        <f t="shared" si="35"/>
        <v>OK</v>
      </c>
      <c r="R284" t="str">
        <f t="shared" si="38"/>
        <v>medium</v>
      </c>
      <c r="S284" t="str">
        <f t="shared" si="36"/>
        <v>Medium</v>
      </c>
      <c r="T284" t="str">
        <f t="shared" si="37"/>
        <v>6</v>
      </c>
      <c r="U284">
        <v>5.0999999999999996</v>
      </c>
      <c r="V284" t="b">
        <f t="shared" si="39"/>
        <v>1</v>
      </c>
    </row>
    <row r="285" spans="1:22" x14ac:dyDescent="0.25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4.0999999999999996</v>
      </c>
      <c r="G285" t="s">
        <v>142</v>
      </c>
      <c r="H285" t="s">
        <v>23</v>
      </c>
      <c r="I285">
        <v>7.9</v>
      </c>
      <c r="J285">
        <v>7</v>
      </c>
      <c r="K285" t="s">
        <v>18</v>
      </c>
      <c r="L285">
        <v>2</v>
      </c>
      <c r="M285">
        <v>5</v>
      </c>
      <c r="N285" t="str">
        <f t="shared" si="32"/>
        <v>Vkontakte</v>
      </c>
      <c r="O285">
        <f t="shared" si="33"/>
        <v>2</v>
      </c>
      <c r="P285" t="str">
        <f t="shared" si="34"/>
        <v>7.9</v>
      </c>
      <c r="Q285" t="str">
        <f t="shared" si="35"/>
        <v>OK</v>
      </c>
      <c r="R285" t="str">
        <f t="shared" si="38"/>
        <v>medium</v>
      </c>
      <c r="S285" t="str">
        <f t="shared" si="36"/>
        <v>Medium</v>
      </c>
      <c r="T285" t="str">
        <f t="shared" si="37"/>
        <v>5</v>
      </c>
      <c r="U285">
        <v>5.0999999999999996</v>
      </c>
      <c r="V285" t="b">
        <f t="shared" si="39"/>
        <v>1</v>
      </c>
    </row>
    <row r="286" spans="1:22" x14ac:dyDescent="0.25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6.7</v>
      </c>
      <c r="G286" t="s">
        <v>16</v>
      </c>
      <c r="H286" t="s">
        <v>17</v>
      </c>
      <c r="I286">
        <v>5.4</v>
      </c>
      <c r="J286">
        <v>4</v>
      </c>
      <c r="K286" t="s">
        <v>24</v>
      </c>
      <c r="L286">
        <v>4</v>
      </c>
      <c r="M286">
        <v>9</v>
      </c>
      <c r="N286" t="str">
        <f t="shared" si="32"/>
        <v>Instagram</v>
      </c>
      <c r="O286">
        <f t="shared" si="33"/>
        <v>1</v>
      </c>
      <c r="P286" t="str">
        <f t="shared" si="34"/>
        <v>5.4</v>
      </c>
      <c r="Q286" t="str">
        <f t="shared" si="35"/>
        <v>OK</v>
      </c>
      <c r="R286" t="b">
        <f t="shared" si="38"/>
        <v>1</v>
      </c>
      <c r="S286" t="str">
        <f t="shared" si="36"/>
        <v>High</v>
      </c>
      <c r="T286" t="str">
        <f t="shared" si="37"/>
        <v>9</v>
      </c>
      <c r="U286">
        <v>5.0999999999999996</v>
      </c>
      <c r="V286" t="b">
        <f t="shared" si="39"/>
        <v>1</v>
      </c>
    </row>
    <row r="287" spans="1:22" x14ac:dyDescent="0.25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5</v>
      </c>
      <c r="G287" t="s">
        <v>32</v>
      </c>
      <c r="H287" t="s">
        <v>17</v>
      </c>
      <c r="I287">
        <v>6.6</v>
      </c>
      <c r="J287">
        <v>6</v>
      </c>
      <c r="K287" t="s">
        <v>18</v>
      </c>
      <c r="L287">
        <v>3</v>
      </c>
      <c r="M287">
        <v>7</v>
      </c>
      <c r="N287" t="str">
        <f t="shared" si="32"/>
        <v>Facebook</v>
      </c>
      <c r="O287">
        <f t="shared" si="33"/>
        <v>0</v>
      </c>
      <c r="P287" t="str">
        <f t="shared" si="34"/>
        <v>6.6</v>
      </c>
      <c r="Q287" t="str">
        <f t="shared" si="35"/>
        <v>OK</v>
      </c>
      <c r="R287" t="b">
        <f t="shared" si="38"/>
        <v>1</v>
      </c>
      <c r="S287" t="str">
        <f t="shared" si="36"/>
        <v>High</v>
      </c>
      <c r="T287" t="str">
        <f t="shared" si="37"/>
        <v>7</v>
      </c>
      <c r="U287">
        <v>5.0999999999999996</v>
      </c>
      <c r="V287" t="b">
        <f t="shared" si="39"/>
        <v>1</v>
      </c>
    </row>
    <row r="288" spans="1:22" x14ac:dyDescent="0.25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4.3</v>
      </c>
      <c r="G288" t="s">
        <v>16</v>
      </c>
      <c r="H288" t="s">
        <v>23</v>
      </c>
      <c r="I288">
        <v>7.5</v>
      </c>
      <c r="J288">
        <v>7</v>
      </c>
      <c r="K288" t="s">
        <v>24</v>
      </c>
      <c r="L288">
        <v>2</v>
      </c>
      <c r="M288">
        <v>5</v>
      </c>
      <c r="N288" t="str">
        <f t="shared" si="32"/>
        <v>Instagram</v>
      </c>
      <c r="O288">
        <f t="shared" si="33"/>
        <v>1</v>
      </c>
      <c r="P288" t="str">
        <f t="shared" si="34"/>
        <v>7.5</v>
      </c>
      <c r="Q288" t="str">
        <f t="shared" si="35"/>
        <v>OK</v>
      </c>
      <c r="R288" t="str">
        <f t="shared" si="38"/>
        <v>medium</v>
      </c>
      <c r="S288" t="str">
        <f t="shared" si="36"/>
        <v>Medium</v>
      </c>
      <c r="T288" t="str">
        <f t="shared" si="37"/>
        <v>5</v>
      </c>
      <c r="U288">
        <v>5.0999999999999996</v>
      </c>
      <c r="V288" t="b">
        <f t="shared" si="39"/>
        <v>1</v>
      </c>
    </row>
    <row r="289" spans="1:22" x14ac:dyDescent="0.25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3.5</v>
      </c>
      <c r="G289" t="s">
        <v>32</v>
      </c>
      <c r="H289" t="s">
        <v>23</v>
      </c>
      <c r="I289">
        <v>8</v>
      </c>
      <c r="J289">
        <v>8</v>
      </c>
      <c r="K289" t="s">
        <v>18</v>
      </c>
      <c r="L289">
        <v>1</v>
      </c>
      <c r="M289">
        <v>4</v>
      </c>
      <c r="N289" t="str">
        <f t="shared" si="32"/>
        <v>Facebook</v>
      </c>
      <c r="O289">
        <f t="shared" si="33"/>
        <v>0</v>
      </c>
      <c r="P289" t="str">
        <f t="shared" si="34"/>
        <v>8</v>
      </c>
      <c r="Q289" t="str">
        <f t="shared" si="35"/>
        <v>OK</v>
      </c>
      <c r="R289" t="str">
        <f t="shared" si="38"/>
        <v>medium</v>
      </c>
      <c r="S289" t="str">
        <f t="shared" si="36"/>
        <v>Low</v>
      </c>
      <c r="T289" t="str">
        <f t="shared" si="37"/>
        <v>4</v>
      </c>
      <c r="U289">
        <v>5.0999999999999996</v>
      </c>
      <c r="V289" t="b">
        <f t="shared" si="39"/>
        <v>1</v>
      </c>
    </row>
    <row r="290" spans="1:22" x14ac:dyDescent="0.25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3</v>
      </c>
      <c r="G290" t="s">
        <v>140</v>
      </c>
      <c r="H290" t="s">
        <v>23</v>
      </c>
      <c r="I290">
        <v>8.6</v>
      </c>
      <c r="J290">
        <v>8</v>
      </c>
      <c r="K290" t="s">
        <v>24</v>
      </c>
      <c r="L290">
        <v>1</v>
      </c>
      <c r="M290">
        <v>3</v>
      </c>
      <c r="N290" t="str">
        <f t="shared" si="32"/>
        <v>Line</v>
      </c>
      <c r="O290">
        <f t="shared" si="33"/>
        <v>0</v>
      </c>
      <c r="P290" t="str">
        <f t="shared" si="34"/>
        <v>8.6</v>
      </c>
      <c r="Q290" t="str">
        <f t="shared" si="35"/>
        <v>OK</v>
      </c>
      <c r="R290" t="str">
        <f t="shared" si="38"/>
        <v>medium</v>
      </c>
      <c r="S290" t="str">
        <f t="shared" si="36"/>
        <v>Low</v>
      </c>
      <c r="T290" t="str">
        <f t="shared" si="37"/>
        <v>3</v>
      </c>
      <c r="U290">
        <v>5.0999999999999996</v>
      </c>
      <c r="V290" t="b">
        <f t="shared" si="39"/>
        <v>1</v>
      </c>
    </row>
    <row r="291" spans="1:22" x14ac:dyDescent="0.25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5.2</v>
      </c>
      <c r="G291" t="s">
        <v>16</v>
      </c>
      <c r="H291" t="s">
        <v>17</v>
      </c>
      <c r="I291">
        <v>6.9</v>
      </c>
      <c r="J291">
        <v>5</v>
      </c>
      <c r="K291" t="s">
        <v>24</v>
      </c>
      <c r="L291">
        <v>3</v>
      </c>
      <c r="M291">
        <v>7</v>
      </c>
      <c r="N291" t="str">
        <f t="shared" si="32"/>
        <v>Instagram</v>
      </c>
      <c r="O291">
        <f t="shared" si="33"/>
        <v>1</v>
      </c>
      <c r="P291" t="str">
        <f t="shared" si="34"/>
        <v>6.9</v>
      </c>
      <c r="Q291" t="str">
        <f t="shared" si="35"/>
        <v>OK</v>
      </c>
      <c r="R291" t="b">
        <f t="shared" si="38"/>
        <v>1</v>
      </c>
      <c r="S291" t="str">
        <f t="shared" si="36"/>
        <v>High</v>
      </c>
      <c r="T291" t="str">
        <f t="shared" si="37"/>
        <v>7</v>
      </c>
      <c r="U291">
        <v>5.0999999999999996</v>
      </c>
      <c r="V291" t="b">
        <f t="shared" si="39"/>
        <v>1</v>
      </c>
    </row>
    <row r="292" spans="1:22" x14ac:dyDescent="0.25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4.5</v>
      </c>
      <c r="G292" t="s">
        <v>141</v>
      </c>
      <c r="H292" t="s">
        <v>17</v>
      </c>
      <c r="I292">
        <v>7.3</v>
      </c>
      <c r="J292">
        <v>6</v>
      </c>
      <c r="K292" t="s">
        <v>18</v>
      </c>
      <c r="L292">
        <v>3</v>
      </c>
      <c r="M292">
        <v>6</v>
      </c>
      <c r="N292" t="str">
        <f t="shared" si="32"/>
        <v>Kakaotalk</v>
      </c>
      <c r="O292">
        <f t="shared" si="33"/>
        <v>1</v>
      </c>
      <c r="P292" t="str">
        <f t="shared" si="34"/>
        <v>7.3</v>
      </c>
      <c r="Q292" t="str">
        <f t="shared" si="35"/>
        <v>OK</v>
      </c>
      <c r="R292" t="str">
        <f t="shared" si="38"/>
        <v>medium</v>
      </c>
      <c r="S292" t="str">
        <f t="shared" si="36"/>
        <v>Medium</v>
      </c>
      <c r="T292" t="str">
        <f t="shared" si="37"/>
        <v>6</v>
      </c>
      <c r="U292">
        <v>5.0999999999999996</v>
      </c>
      <c r="V292" t="b">
        <f t="shared" si="39"/>
        <v>1</v>
      </c>
    </row>
    <row r="293" spans="1:22" x14ac:dyDescent="0.25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4</v>
      </c>
      <c r="G293" t="s">
        <v>142</v>
      </c>
      <c r="H293" t="s">
        <v>23</v>
      </c>
      <c r="I293">
        <v>8</v>
      </c>
      <c r="J293">
        <v>7</v>
      </c>
      <c r="K293" t="s">
        <v>24</v>
      </c>
      <c r="L293">
        <v>2</v>
      </c>
      <c r="M293">
        <v>5</v>
      </c>
      <c r="N293" t="str">
        <f t="shared" si="32"/>
        <v>Vkontakte</v>
      </c>
      <c r="O293">
        <f t="shared" si="33"/>
        <v>2</v>
      </c>
      <c r="P293" t="str">
        <f t="shared" si="34"/>
        <v>8</v>
      </c>
      <c r="Q293" t="str">
        <f t="shared" si="35"/>
        <v>OK</v>
      </c>
      <c r="R293" t="str">
        <f t="shared" si="38"/>
        <v>medium</v>
      </c>
      <c r="S293" t="str">
        <f t="shared" si="36"/>
        <v>Medium</v>
      </c>
      <c r="T293" t="str">
        <f t="shared" si="37"/>
        <v>5</v>
      </c>
      <c r="U293">
        <v>5.0999999999999996</v>
      </c>
      <c r="V293" t="b">
        <f t="shared" si="39"/>
        <v>1</v>
      </c>
    </row>
    <row r="294" spans="1:22" x14ac:dyDescent="0.25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6.8</v>
      </c>
      <c r="G294" t="s">
        <v>26</v>
      </c>
      <c r="H294" t="s">
        <v>17</v>
      </c>
      <c r="I294">
        <v>5.3</v>
      </c>
      <c r="J294">
        <v>4</v>
      </c>
      <c r="K294" t="s">
        <v>18</v>
      </c>
      <c r="L294">
        <v>4</v>
      </c>
      <c r="M294">
        <v>9</v>
      </c>
      <c r="N294" t="str">
        <f t="shared" si="32"/>
        <v>Tiktok</v>
      </c>
      <c r="O294">
        <f t="shared" si="33"/>
        <v>2</v>
      </c>
      <c r="P294" t="str">
        <f t="shared" si="34"/>
        <v>5.3</v>
      </c>
      <c r="Q294" t="str">
        <f t="shared" si="35"/>
        <v>OK</v>
      </c>
      <c r="R294" t="b">
        <f t="shared" si="38"/>
        <v>1</v>
      </c>
      <c r="S294" t="str">
        <f t="shared" si="36"/>
        <v>High</v>
      </c>
      <c r="T294" t="str">
        <f t="shared" si="37"/>
        <v>9</v>
      </c>
      <c r="U294">
        <v>5.0999999999999996</v>
      </c>
      <c r="V294" t="b">
        <f t="shared" si="39"/>
        <v>1</v>
      </c>
    </row>
    <row r="295" spans="1:22" x14ac:dyDescent="0.25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4.9000000000000004</v>
      </c>
      <c r="G295" t="s">
        <v>16</v>
      </c>
      <c r="H295" t="s">
        <v>17</v>
      </c>
      <c r="I295">
        <v>6.7</v>
      </c>
      <c r="J295">
        <v>6</v>
      </c>
      <c r="K295" t="s">
        <v>24</v>
      </c>
      <c r="L295">
        <v>3</v>
      </c>
      <c r="M295">
        <v>7</v>
      </c>
      <c r="N295" t="str">
        <f t="shared" si="32"/>
        <v>Instagram</v>
      </c>
      <c r="O295">
        <f t="shared" si="33"/>
        <v>1</v>
      </c>
      <c r="P295" t="str">
        <f t="shared" si="34"/>
        <v>6.7</v>
      </c>
      <c r="Q295" t="str">
        <f t="shared" si="35"/>
        <v>OK</v>
      </c>
      <c r="R295" t="b">
        <f t="shared" si="38"/>
        <v>1</v>
      </c>
      <c r="S295" t="str">
        <f t="shared" si="36"/>
        <v>High</v>
      </c>
      <c r="T295" t="str">
        <f t="shared" si="37"/>
        <v>7</v>
      </c>
      <c r="U295">
        <v>5.0999999999999996</v>
      </c>
      <c r="V295" t="b">
        <f t="shared" si="39"/>
        <v>1</v>
      </c>
    </row>
    <row r="296" spans="1:22" x14ac:dyDescent="0.25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4.2</v>
      </c>
      <c r="G296" t="s">
        <v>32</v>
      </c>
      <c r="H296" t="s">
        <v>23</v>
      </c>
      <c r="I296">
        <v>7.6</v>
      </c>
      <c r="J296">
        <v>7</v>
      </c>
      <c r="K296" t="s">
        <v>18</v>
      </c>
      <c r="L296">
        <v>2</v>
      </c>
      <c r="M296">
        <v>5</v>
      </c>
      <c r="N296" t="str">
        <f t="shared" si="32"/>
        <v>Facebook</v>
      </c>
      <c r="O296">
        <f t="shared" si="33"/>
        <v>0</v>
      </c>
      <c r="P296" t="str">
        <f t="shared" si="34"/>
        <v>7.6</v>
      </c>
      <c r="Q296" t="str">
        <f t="shared" si="35"/>
        <v>OK</v>
      </c>
      <c r="R296" t="str">
        <f t="shared" si="38"/>
        <v>medium</v>
      </c>
      <c r="S296" t="str">
        <f t="shared" si="36"/>
        <v>Medium</v>
      </c>
      <c r="T296" t="str">
        <f t="shared" si="37"/>
        <v>5</v>
      </c>
      <c r="U296">
        <v>5</v>
      </c>
      <c r="V296" t="b">
        <f t="shared" si="39"/>
        <v>1</v>
      </c>
    </row>
    <row r="297" spans="1:22" x14ac:dyDescent="0.25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3.4</v>
      </c>
      <c r="G297" t="s">
        <v>16</v>
      </c>
      <c r="H297" t="s">
        <v>23</v>
      </c>
      <c r="I297">
        <v>8.1</v>
      </c>
      <c r="J297">
        <v>8</v>
      </c>
      <c r="K297" t="s">
        <v>24</v>
      </c>
      <c r="L297">
        <v>1</v>
      </c>
      <c r="M297">
        <v>4</v>
      </c>
      <c r="N297" t="str">
        <f t="shared" si="32"/>
        <v>Instagram</v>
      </c>
      <c r="O297">
        <f t="shared" si="33"/>
        <v>1</v>
      </c>
      <c r="P297" t="str">
        <f t="shared" si="34"/>
        <v>8.1</v>
      </c>
      <c r="Q297" t="str">
        <f t="shared" si="35"/>
        <v>OK</v>
      </c>
      <c r="R297" t="str">
        <f t="shared" si="38"/>
        <v>medium</v>
      </c>
      <c r="S297" t="str">
        <f t="shared" si="36"/>
        <v>Low</v>
      </c>
      <c r="T297" t="str">
        <f t="shared" si="37"/>
        <v>4</v>
      </c>
      <c r="U297">
        <v>5</v>
      </c>
      <c r="V297" t="b">
        <f t="shared" si="39"/>
        <v>1</v>
      </c>
    </row>
    <row r="298" spans="1:22" x14ac:dyDescent="0.25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2.9</v>
      </c>
      <c r="G298" t="s">
        <v>140</v>
      </c>
      <c r="H298" t="s">
        <v>23</v>
      </c>
      <c r="I298">
        <v>8.6999999999999993</v>
      </c>
      <c r="J298">
        <v>8</v>
      </c>
      <c r="K298" t="s">
        <v>24</v>
      </c>
      <c r="L298">
        <v>1</v>
      </c>
      <c r="M298">
        <v>3</v>
      </c>
      <c r="N298" t="str">
        <f t="shared" si="32"/>
        <v>Line</v>
      </c>
      <c r="O298">
        <f t="shared" si="33"/>
        <v>0</v>
      </c>
      <c r="P298" t="str">
        <f t="shared" si="34"/>
        <v>8.7</v>
      </c>
      <c r="Q298" t="str">
        <f t="shared" si="35"/>
        <v>OK</v>
      </c>
      <c r="R298" t="str">
        <f t="shared" si="38"/>
        <v>medium</v>
      </c>
      <c r="S298" t="str">
        <f t="shared" si="36"/>
        <v>Low</v>
      </c>
      <c r="T298" t="str">
        <f t="shared" si="37"/>
        <v>3</v>
      </c>
      <c r="U298">
        <v>5</v>
      </c>
      <c r="V298" t="b">
        <f t="shared" si="39"/>
        <v>1</v>
      </c>
    </row>
    <row r="299" spans="1:22" x14ac:dyDescent="0.25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5.0999999999999996</v>
      </c>
      <c r="G299" t="s">
        <v>26</v>
      </c>
      <c r="H299" t="s">
        <v>17</v>
      </c>
      <c r="I299">
        <v>7</v>
      </c>
      <c r="J299">
        <v>5</v>
      </c>
      <c r="K299" t="s">
        <v>18</v>
      </c>
      <c r="L299">
        <v>3</v>
      </c>
      <c r="M299">
        <v>8</v>
      </c>
      <c r="N299" t="str">
        <f t="shared" si="32"/>
        <v>Tiktok</v>
      </c>
      <c r="O299">
        <f t="shared" si="33"/>
        <v>2</v>
      </c>
      <c r="P299" t="str">
        <f t="shared" si="34"/>
        <v>7</v>
      </c>
      <c r="Q299" t="str">
        <f t="shared" si="35"/>
        <v>OK</v>
      </c>
      <c r="R299" t="b">
        <f t="shared" si="38"/>
        <v>1</v>
      </c>
      <c r="S299" t="str">
        <f t="shared" si="36"/>
        <v>High</v>
      </c>
      <c r="T299" t="str">
        <f t="shared" si="37"/>
        <v>8</v>
      </c>
      <c r="U299">
        <v>5</v>
      </c>
      <c r="V299" t="b">
        <f t="shared" si="39"/>
        <v>1</v>
      </c>
    </row>
    <row r="300" spans="1:22" x14ac:dyDescent="0.25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4.4000000000000004</v>
      </c>
      <c r="G300" t="s">
        <v>141</v>
      </c>
      <c r="H300" t="s">
        <v>17</v>
      </c>
      <c r="I300">
        <v>7.4</v>
      </c>
      <c r="J300">
        <v>6</v>
      </c>
      <c r="K300" t="s">
        <v>24</v>
      </c>
      <c r="L300">
        <v>3</v>
      </c>
      <c r="M300">
        <v>6</v>
      </c>
      <c r="N300" t="str">
        <f t="shared" si="32"/>
        <v>Kakaotalk</v>
      </c>
      <c r="O300">
        <f t="shared" si="33"/>
        <v>1</v>
      </c>
      <c r="P300" t="str">
        <f t="shared" si="34"/>
        <v>7.4</v>
      </c>
      <c r="Q300" t="str">
        <f t="shared" si="35"/>
        <v>OK</v>
      </c>
      <c r="R300" t="str">
        <f t="shared" si="38"/>
        <v>medium</v>
      </c>
      <c r="S300" t="str">
        <f t="shared" si="36"/>
        <v>Medium</v>
      </c>
      <c r="T300" t="str">
        <f t="shared" si="37"/>
        <v>6</v>
      </c>
      <c r="U300">
        <v>5</v>
      </c>
      <c r="V300" t="b">
        <f t="shared" si="39"/>
        <v>1</v>
      </c>
    </row>
    <row r="301" spans="1:22" x14ac:dyDescent="0.25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3.9</v>
      </c>
      <c r="G301" t="s">
        <v>142</v>
      </c>
      <c r="H301" t="s">
        <v>23</v>
      </c>
      <c r="I301">
        <v>8.1</v>
      </c>
      <c r="J301">
        <v>7</v>
      </c>
      <c r="K301" t="s">
        <v>18</v>
      </c>
      <c r="L301">
        <v>2</v>
      </c>
      <c r="M301">
        <v>5</v>
      </c>
      <c r="N301" t="str">
        <f t="shared" si="32"/>
        <v>Vkontakte</v>
      </c>
      <c r="O301">
        <f t="shared" si="33"/>
        <v>2</v>
      </c>
      <c r="P301" t="str">
        <f t="shared" si="34"/>
        <v>8.1</v>
      </c>
      <c r="Q301" t="str">
        <f t="shared" si="35"/>
        <v>OK</v>
      </c>
      <c r="R301" t="str">
        <f t="shared" si="38"/>
        <v>medium</v>
      </c>
      <c r="S301" t="str">
        <f t="shared" si="36"/>
        <v>Medium</v>
      </c>
      <c r="T301" t="str">
        <f t="shared" si="37"/>
        <v>5</v>
      </c>
      <c r="U301">
        <v>5</v>
      </c>
      <c r="V301" t="b">
        <f t="shared" si="39"/>
        <v>1</v>
      </c>
    </row>
    <row r="302" spans="1:22" x14ac:dyDescent="0.25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6.9</v>
      </c>
      <c r="G302" t="s">
        <v>16</v>
      </c>
      <c r="H302" t="s">
        <v>17</v>
      </c>
      <c r="I302">
        <v>5.2</v>
      </c>
      <c r="J302">
        <v>4</v>
      </c>
      <c r="K302" t="s">
        <v>24</v>
      </c>
      <c r="L302">
        <v>4</v>
      </c>
      <c r="M302">
        <v>9</v>
      </c>
      <c r="N302" t="str">
        <f t="shared" si="32"/>
        <v>Instagram</v>
      </c>
      <c r="O302">
        <f t="shared" si="33"/>
        <v>1</v>
      </c>
      <c r="P302" t="str">
        <f t="shared" si="34"/>
        <v>5.2</v>
      </c>
      <c r="Q302" t="str">
        <f t="shared" si="35"/>
        <v>OK</v>
      </c>
      <c r="R302" t="b">
        <f t="shared" si="38"/>
        <v>1</v>
      </c>
      <c r="S302" t="str">
        <f t="shared" si="36"/>
        <v>High</v>
      </c>
      <c r="T302" t="str">
        <f t="shared" si="37"/>
        <v>9</v>
      </c>
      <c r="U302">
        <v>5</v>
      </c>
      <c r="V302" t="b">
        <f t="shared" si="39"/>
        <v>1</v>
      </c>
    </row>
    <row r="303" spans="1:22" x14ac:dyDescent="0.25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4.8</v>
      </c>
      <c r="G303" t="s">
        <v>32</v>
      </c>
      <c r="H303" t="s">
        <v>17</v>
      </c>
      <c r="I303">
        <v>6.8</v>
      </c>
      <c r="J303">
        <v>6</v>
      </c>
      <c r="K303" t="s">
        <v>18</v>
      </c>
      <c r="L303">
        <v>3</v>
      </c>
      <c r="M303">
        <v>7</v>
      </c>
      <c r="N303" t="str">
        <f t="shared" si="32"/>
        <v>Facebook</v>
      </c>
      <c r="O303">
        <f t="shared" si="33"/>
        <v>0</v>
      </c>
      <c r="P303" t="str">
        <f t="shared" si="34"/>
        <v>6.8</v>
      </c>
      <c r="Q303" t="str">
        <f t="shared" si="35"/>
        <v>OK</v>
      </c>
      <c r="R303" t="b">
        <f t="shared" si="38"/>
        <v>1</v>
      </c>
      <c r="S303" t="str">
        <f t="shared" si="36"/>
        <v>High</v>
      </c>
      <c r="T303" t="str">
        <f t="shared" si="37"/>
        <v>7</v>
      </c>
      <c r="U303">
        <v>5</v>
      </c>
      <c r="V303" t="b">
        <f t="shared" si="39"/>
        <v>1</v>
      </c>
    </row>
    <row r="304" spans="1:22" x14ac:dyDescent="0.25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4.0999999999999996</v>
      </c>
      <c r="G304" t="s">
        <v>16</v>
      </c>
      <c r="H304" t="s">
        <v>23</v>
      </c>
      <c r="I304">
        <v>7.7</v>
      </c>
      <c r="J304">
        <v>7</v>
      </c>
      <c r="K304" t="s">
        <v>24</v>
      </c>
      <c r="L304">
        <v>2</v>
      </c>
      <c r="M304">
        <v>5</v>
      </c>
      <c r="N304" t="str">
        <f t="shared" si="32"/>
        <v>Instagram</v>
      </c>
      <c r="O304">
        <f t="shared" si="33"/>
        <v>1</v>
      </c>
      <c r="P304" t="str">
        <f t="shared" si="34"/>
        <v>7.7</v>
      </c>
      <c r="Q304" t="str">
        <f t="shared" si="35"/>
        <v>OK</v>
      </c>
      <c r="R304" t="str">
        <f t="shared" si="38"/>
        <v>medium</v>
      </c>
      <c r="S304" t="str">
        <f t="shared" si="36"/>
        <v>Medium</v>
      </c>
      <c r="T304" t="str">
        <f t="shared" si="37"/>
        <v>5</v>
      </c>
      <c r="U304">
        <v>5</v>
      </c>
      <c r="V304" t="b">
        <f t="shared" si="39"/>
        <v>1</v>
      </c>
    </row>
    <row r="305" spans="1:22" x14ac:dyDescent="0.25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3.3</v>
      </c>
      <c r="G305" t="s">
        <v>32</v>
      </c>
      <c r="H305" t="s">
        <v>23</v>
      </c>
      <c r="I305">
        <v>8.1999999999999993</v>
      </c>
      <c r="J305">
        <v>8</v>
      </c>
      <c r="K305" t="s">
        <v>18</v>
      </c>
      <c r="L305">
        <v>1</v>
      </c>
      <c r="M305">
        <v>4</v>
      </c>
      <c r="N305" t="str">
        <f t="shared" si="32"/>
        <v>Facebook</v>
      </c>
      <c r="O305">
        <f t="shared" si="33"/>
        <v>0</v>
      </c>
      <c r="P305" t="str">
        <f t="shared" si="34"/>
        <v>8.2</v>
      </c>
      <c r="Q305" t="str">
        <f t="shared" si="35"/>
        <v>OK</v>
      </c>
      <c r="R305" t="str">
        <f t="shared" si="38"/>
        <v>medium</v>
      </c>
      <c r="S305" t="str">
        <f t="shared" si="36"/>
        <v>Low</v>
      </c>
      <c r="T305" t="str">
        <f t="shared" si="37"/>
        <v>4</v>
      </c>
      <c r="U305">
        <v>5</v>
      </c>
      <c r="V305" t="b">
        <f t="shared" si="39"/>
        <v>1</v>
      </c>
    </row>
    <row r="306" spans="1:22" x14ac:dyDescent="0.25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2.8</v>
      </c>
      <c r="G306" t="s">
        <v>140</v>
      </c>
      <c r="H306" t="s">
        <v>23</v>
      </c>
      <c r="I306">
        <v>8.8000000000000007</v>
      </c>
      <c r="J306">
        <v>8</v>
      </c>
      <c r="K306" t="s">
        <v>24</v>
      </c>
      <c r="L306">
        <v>1</v>
      </c>
      <c r="M306">
        <v>3</v>
      </c>
      <c r="N306" t="str">
        <f t="shared" si="32"/>
        <v>Line</v>
      </c>
      <c r="O306">
        <f t="shared" si="33"/>
        <v>0</v>
      </c>
      <c r="P306" t="str">
        <f t="shared" si="34"/>
        <v>8.8</v>
      </c>
      <c r="Q306" t="str">
        <f t="shared" si="35"/>
        <v>OK</v>
      </c>
      <c r="R306" t="str">
        <f t="shared" si="38"/>
        <v>medium</v>
      </c>
      <c r="S306" t="str">
        <f t="shared" si="36"/>
        <v>Low</v>
      </c>
      <c r="T306" t="str">
        <f t="shared" si="37"/>
        <v>3</v>
      </c>
      <c r="U306">
        <v>5</v>
      </c>
      <c r="V306" t="b">
        <f t="shared" si="39"/>
        <v>1</v>
      </c>
    </row>
    <row r="307" spans="1:22" x14ac:dyDescent="0.25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5</v>
      </c>
      <c r="G307" t="s">
        <v>16</v>
      </c>
      <c r="H307" t="s">
        <v>17</v>
      </c>
      <c r="I307">
        <v>7.1</v>
      </c>
      <c r="J307">
        <v>5</v>
      </c>
      <c r="K307" t="s">
        <v>24</v>
      </c>
      <c r="L307">
        <v>3</v>
      </c>
      <c r="M307">
        <v>7</v>
      </c>
      <c r="N307" t="str">
        <f t="shared" si="32"/>
        <v>Instagram</v>
      </c>
      <c r="O307">
        <f t="shared" si="33"/>
        <v>1</v>
      </c>
      <c r="P307" t="str">
        <f t="shared" si="34"/>
        <v>7.1</v>
      </c>
      <c r="Q307" t="str">
        <f t="shared" si="35"/>
        <v>OK</v>
      </c>
      <c r="R307" t="b">
        <f t="shared" si="38"/>
        <v>1</v>
      </c>
      <c r="S307" t="str">
        <f t="shared" si="36"/>
        <v>High</v>
      </c>
      <c r="T307" t="str">
        <f t="shared" si="37"/>
        <v>7</v>
      </c>
      <c r="U307">
        <v>5</v>
      </c>
      <c r="V307" t="b">
        <f t="shared" si="39"/>
        <v>1</v>
      </c>
    </row>
    <row r="308" spans="1:22" x14ac:dyDescent="0.25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4.3</v>
      </c>
      <c r="G308" t="s">
        <v>141</v>
      </c>
      <c r="H308" t="s">
        <v>17</v>
      </c>
      <c r="I308">
        <v>7.5</v>
      </c>
      <c r="J308">
        <v>6</v>
      </c>
      <c r="K308" t="s">
        <v>18</v>
      </c>
      <c r="L308">
        <v>3</v>
      </c>
      <c r="M308">
        <v>6</v>
      </c>
      <c r="N308" t="str">
        <f t="shared" si="32"/>
        <v>Kakaotalk</v>
      </c>
      <c r="O308">
        <f t="shared" si="33"/>
        <v>1</v>
      </c>
      <c r="P308" t="str">
        <f t="shared" si="34"/>
        <v>7.5</v>
      </c>
      <c r="Q308" t="str">
        <f t="shared" si="35"/>
        <v>OK</v>
      </c>
      <c r="R308" t="str">
        <f t="shared" si="38"/>
        <v>medium</v>
      </c>
      <c r="S308" t="str">
        <f t="shared" si="36"/>
        <v>Medium</v>
      </c>
      <c r="T308" t="str">
        <f t="shared" si="37"/>
        <v>6</v>
      </c>
      <c r="U308">
        <v>5</v>
      </c>
      <c r="V308" t="b">
        <f t="shared" si="39"/>
        <v>1</v>
      </c>
    </row>
    <row r="309" spans="1:22" x14ac:dyDescent="0.25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3.8</v>
      </c>
      <c r="G309" t="s">
        <v>142</v>
      </c>
      <c r="H309" t="s">
        <v>23</v>
      </c>
      <c r="I309">
        <v>8.1999999999999993</v>
      </c>
      <c r="J309">
        <v>7</v>
      </c>
      <c r="K309" t="s">
        <v>24</v>
      </c>
      <c r="L309">
        <v>2</v>
      </c>
      <c r="M309">
        <v>5</v>
      </c>
      <c r="N309" t="str">
        <f t="shared" si="32"/>
        <v>Vkontakte</v>
      </c>
      <c r="O309">
        <f t="shared" si="33"/>
        <v>2</v>
      </c>
      <c r="P309" t="str">
        <f t="shared" si="34"/>
        <v>8.2</v>
      </c>
      <c r="Q309" t="str">
        <f t="shared" si="35"/>
        <v>OK</v>
      </c>
      <c r="R309" t="str">
        <f t="shared" si="38"/>
        <v>medium</v>
      </c>
      <c r="S309" t="str">
        <f t="shared" si="36"/>
        <v>Medium</v>
      </c>
      <c r="T309" t="str">
        <f t="shared" si="37"/>
        <v>5</v>
      </c>
      <c r="U309">
        <v>5</v>
      </c>
      <c r="V309" t="b">
        <f t="shared" si="39"/>
        <v>1</v>
      </c>
    </row>
    <row r="310" spans="1:22" x14ac:dyDescent="0.25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7</v>
      </c>
      <c r="G310" t="s">
        <v>26</v>
      </c>
      <c r="H310" t="s">
        <v>17</v>
      </c>
      <c r="I310">
        <v>5.0999999999999996</v>
      </c>
      <c r="J310">
        <v>4</v>
      </c>
      <c r="K310" t="s">
        <v>18</v>
      </c>
      <c r="L310">
        <v>4</v>
      </c>
      <c r="M310">
        <v>9</v>
      </c>
      <c r="N310" t="str">
        <f t="shared" si="32"/>
        <v>Tiktok</v>
      </c>
      <c r="O310">
        <f t="shared" si="33"/>
        <v>2</v>
      </c>
      <c r="P310" t="str">
        <f t="shared" si="34"/>
        <v>5.1</v>
      </c>
      <c r="Q310" t="str">
        <f t="shared" si="35"/>
        <v>OK</v>
      </c>
      <c r="R310" t="b">
        <f t="shared" si="38"/>
        <v>1</v>
      </c>
      <c r="S310" t="str">
        <f t="shared" si="36"/>
        <v>High</v>
      </c>
      <c r="T310" t="str">
        <f t="shared" si="37"/>
        <v>9</v>
      </c>
      <c r="U310">
        <v>4.9000000000000004</v>
      </c>
      <c r="V310" t="b">
        <f t="shared" si="39"/>
        <v>1</v>
      </c>
    </row>
    <row r="311" spans="1:22" x14ac:dyDescent="0.25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4.7</v>
      </c>
      <c r="G311" t="s">
        <v>16</v>
      </c>
      <c r="H311" t="s">
        <v>17</v>
      </c>
      <c r="I311">
        <v>6.9</v>
      </c>
      <c r="J311">
        <v>6</v>
      </c>
      <c r="K311" t="s">
        <v>24</v>
      </c>
      <c r="L311">
        <v>3</v>
      </c>
      <c r="M311">
        <v>7</v>
      </c>
      <c r="N311" t="str">
        <f t="shared" si="32"/>
        <v>Instagram</v>
      </c>
      <c r="O311">
        <f t="shared" si="33"/>
        <v>1</v>
      </c>
      <c r="P311" t="str">
        <f t="shared" si="34"/>
        <v>6.9</v>
      </c>
      <c r="Q311" t="str">
        <f t="shared" si="35"/>
        <v>OK</v>
      </c>
      <c r="R311" t="b">
        <f t="shared" si="38"/>
        <v>1</v>
      </c>
      <c r="S311" t="str">
        <f t="shared" si="36"/>
        <v>High</v>
      </c>
      <c r="T311" t="str">
        <f t="shared" si="37"/>
        <v>7</v>
      </c>
      <c r="U311">
        <v>4.9000000000000004</v>
      </c>
      <c r="V311" t="b">
        <f t="shared" si="39"/>
        <v>1</v>
      </c>
    </row>
    <row r="312" spans="1:22" x14ac:dyDescent="0.25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4</v>
      </c>
      <c r="G312" t="s">
        <v>32</v>
      </c>
      <c r="H312" t="s">
        <v>23</v>
      </c>
      <c r="I312">
        <v>7.8</v>
      </c>
      <c r="J312">
        <v>7</v>
      </c>
      <c r="K312" t="s">
        <v>18</v>
      </c>
      <c r="L312">
        <v>2</v>
      </c>
      <c r="M312">
        <v>5</v>
      </c>
      <c r="N312" t="str">
        <f t="shared" si="32"/>
        <v>Facebook</v>
      </c>
      <c r="O312">
        <f t="shared" si="33"/>
        <v>0</v>
      </c>
      <c r="P312" t="str">
        <f t="shared" si="34"/>
        <v>7.8</v>
      </c>
      <c r="Q312" t="str">
        <f t="shared" si="35"/>
        <v>OK</v>
      </c>
      <c r="R312" t="str">
        <f t="shared" si="38"/>
        <v>medium</v>
      </c>
      <c r="S312" t="str">
        <f t="shared" si="36"/>
        <v>Medium</v>
      </c>
      <c r="T312" t="str">
        <f t="shared" si="37"/>
        <v>5</v>
      </c>
      <c r="U312">
        <v>4.9000000000000004</v>
      </c>
      <c r="V312" t="b">
        <f t="shared" si="39"/>
        <v>1</v>
      </c>
    </row>
    <row r="313" spans="1:22" x14ac:dyDescent="0.25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3.2</v>
      </c>
      <c r="G313" t="s">
        <v>16</v>
      </c>
      <c r="H313" t="s">
        <v>23</v>
      </c>
      <c r="I313">
        <v>8.3000000000000007</v>
      </c>
      <c r="J313">
        <v>8</v>
      </c>
      <c r="K313" t="s">
        <v>24</v>
      </c>
      <c r="L313">
        <v>1</v>
      </c>
      <c r="M313">
        <v>4</v>
      </c>
      <c r="N313" t="str">
        <f t="shared" si="32"/>
        <v>Instagram</v>
      </c>
      <c r="O313">
        <f t="shared" si="33"/>
        <v>1</v>
      </c>
      <c r="P313" t="str">
        <f t="shared" si="34"/>
        <v>8.3</v>
      </c>
      <c r="Q313" t="str">
        <f t="shared" si="35"/>
        <v>OK</v>
      </c>
      <c r="R313" t="str">
        <f t="shared" si="38"/>
        <v>medium</v>
      </c>
      <c r="S313" t="str">
        <f t="shared" si="36"/>
        <v>Low</v>
      </c>
      <c r="T313" t="str">
        <f t="shared" si="37"/>
        <v>4</v>
      </c>
      <c r="U313">
        <v>4.9000000000000004</v>
      </c>
      <c r="V313" t="b">
        <f t="shared" si="39"/>
        <v>1</v>
      </c>
    </row>
    <row r="314" spans="1:22" x14ac:dyDescent="0.25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2.7</v>
      </c>
      <c r="G314" t="s">
        <v>140</v>
      </c>
      <c r="H314" t="s">
        <v>23</v>
      </c>
      <c r="I314">
        <v>8.9</v>
      </c>
      <c r="J314">
        <v>8</v>
      </c>
      <c r="K314" t="s">
        <v>24</v>
      </c>
      <c r="L314">
        <v>1</v>
      </c>
      <c r="M314">
        <v>3</v>
      </c>
      <c r="N314" t="str">
        <f t="shared" si="32"/>
        <v>Line</v>
      </c>
      <c r="O314">
        <f t="shared" si="33"/>
        <v>0</v>
      </c>
      <c r="P314" t="str">
        <f t="shared" si="34"/>
        <v>8.9</v>
      </c>
      <c r="Q314" t="str">
        <f t="shared" si="35"/>
        <v>OK</v>
      </c>
      <c r="R314" t="str">
        <f t="shared" si="38"/>
        <v>medium</v>
      </c>
      <c r="S314" t="str">
        <f t="shared" si="36"/>
        <v>Low</v>
      </c>
      <c r="T314" t="str">
        <f t="shared" si="37"/>
        <v>3</v>
      </c>
      <c r="U314">
        <v>4.9000000000000004</v>
      </c>
      <c r="V314" t="b">
        <f t="shared" si="39"/>
        <v>1</v>
      </c>
    </row>
    <row r="315" spans="1:22" x14ac:dyDescent="0.25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4.9000000000000004</v>
      </c>
      <c r="G315" t="s">
        <v>26</v>
      </c>
      <c r="H315" t="s">
        <v>17</v>
      </c>
      <c r="I315">
        <v>7.2</v>
      </c>
      <c r="J315">
        <v>5</v>
      </c>
      <c r="K315" t="s">
        <v>18</v>
      </c>
      <c r="L315">
        <v>3</v>
      </c>
      <c r="M315">
        <v>8</v>
      </c>
      <c r="N315" t="str">
        <f t="shared" si="32"/>
        <v>Tiktok</v>
      </c>
      <c r="O315">
        <f t="shared" si="33"/>
        <v>2</v>
      </c>
      <c r="P315" t="str">
        <f t="shared" si="34"/>
        <v>7.2</v>
      </c>
      <c r="Q315" t="str">
        <f t="shared" si="35"/>
        <v>OK</v>
      </c>
      <c r="R315" t="b">
        <f t="shared" si="38"/>
        <v>1</v>
      </c>
      <c r="S315" t="str">
        <f t="shared" si="36"/>
        <v>High</v>
      </c>
      <c r="T315" t="str">
        <f t="shared" si="37"/>
        <v>8</v>
      </c>
      <c r="U315">
        <v>4.9000000000000004</v>
      </c>
      <c r="V315" t="b">
        <f t="shared" si="39"/>
        <v>1</v>
      </c>
    </row>
    <row r="316" spans="1:22" x14ac:dyDescent="0.25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4.2</v>
      </c>
      <c r="G316" t="s">
        <v>141</v>
      </c>
      <c r="H316" t="s">
        <v>17</v>
      </c>
      <c r="I316">
        <v>7.6</v>
      </c>
      <c r="J316">
        <v>6</v>
      </c>
      <c r="K316" t="s">
        <v>24</v>
      </c>
      <c r="L316">
        <v>3</v>
      </c>
      <c r="M316">
        <v>6</v>
      </c>
      <c r="N316" t="str">
        <f t="shared" si="32"/>
        <v>Kakaotalk</v>
      </c>
      <c r="O316">
        <f t="shared" si="33"/>
        <v>1</v>
      </c>
      <c r="P316" t="str">
        <f t="shared" si="34"/>
        <v>7.6</v>
      </c>
      <c r="Q316" t="str">
        <f t="shared" si="35"/>
        <v>OK</v>
      </c>
      <c r="R316" t="str">
        <f t="shared" si="38"/>
        <v>medium</v>
      </c>
      <c r="S316" t="str">
        <f t="shared" si="36"/>
        <v>Medium</v>
      </c>
      <c r="T316" t="str">
        <f t="shared" si="37"/>
        <v>6</v>
      </c>
      <c r="U316">
        <v>4.9000000000000004</v>
      </c>
      <c r="V316" t="b">
        <f t="shared" si="39"/>
        <v>1</v>
      </c>
    </row>
    <row r="317" spans="1:22" x14ac:dyDescent="0.25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3.7</v>
      </c>
      <c r="G317" t="s">
        <v>142</v>
      </c>
      <c r="H317" t="s">
        <v>23</v>
      </c>
      <c r="I317">
        <v>8.3000000000000007</v>
      </c>
      <c r="J317">
        <v>7</v>
      </c>
      <c r="K317" t="s">
        <v>18</v>
      </c>
      <c r="L317">
        <v>2</v>
      </c>
      <c r="M317">
        <v>5</v>
      </c>
      <c r="N317" t="str">
        <f t="shared" si="32"/>
        <v>Vkontakte</v>
      </c>
      <c r="O317">
        <f t="shared" si="33"/>
        <v>2</v>
      </c>
      <c r="P317" t="str">
        <f t="shared" si="34"/>
        <v>8.3</v>
      </c>
      <c r="Q317" t="str">
        <f t="shared" si="35"/>
        <v>OK</v>
      </c>
      <c r="R317" t="str">
        <f t="shared" si="38"/>
        <v>medium</v>
      </c>
      <c r="S317" t="str">
        <f t="shared" si="36"/>
        <v>Medium</v>
      </c>
      <c r="T317" t="str">
        <f t="shared" si="37"/>
        <v>5</v>
      </c>
      <c r="U317">
        <v>4.9000000000000004</v>
      </c>
      <c r="V317" t="b">
        <f t="shared" si="39"/>
        <v>1</v>
      </c>
    </row>
    <row r="318" spans="1:22" x14ac:dyDescent="0.25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7.1</v>
      </c>
      <c r="G318" t="s">
        <v>16</v>
      </c>
      <c r="H318" t="s">
        <v>17</v>
      </c>
      <c r="I318">
        <v>5</v>
      </c>
      <c r="J318">
        <v>4</v>
      </c>
      <c r="K318" t="s">
        <v>24</v>
      </c>
      <c r="L318">
        <v>4</v>
      </c>
      <c r="M318">
        <v>9</v>
      </c>
      <c r="N318" t="str">
        <f t="shared" si="32"/>
        <v>Instagram</v>
      </c>
      <c r="O318">
        <f t="shared" si="33"/>
        <v>1</v>
      </c>
      <c r="P318" t="str">
        <f t="shared" si="34"/>
        <v>5</v>
      </c>
      <c r="Q318" t="str">
        <f t="shared" si="35"/>
        <v>OK</v>
      </c>
      <c r="R318" t="b">
        <f t="shared" si="38"/>
        <v>1</v>
      </c>
      <c r="S318" t="str">
        <f t="shared" si="36"/>
        <v>High</v>
      </c>
      <c r="T318" t="str">
        <f t="shared" si="37"/>
        <v>9</v>
      </c>
      <c r="U318">
        <v>4.9000000000000004</v>
      </c>
      <c r="V318" t="b">
        <f t="shared" si="39"/>
        <v>1</v>
      </c>
    </row>
    <row r="319" spans="1:22" x14ac:dyDescent="0.25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4.5999999999999996</v>
      </c>
      <c r="G319" t="s">
        <v>32</v>
      </c>
      <c r="H319" t="s">
        <v>17</v>
      </c>
      <c r="I319">
        <v>7</v>
      </c>
      <c r="J319">
        <v>6</v>
      </c>
      <c r="K319" t="s">
        <v>18</v>
      </c>
      <c r="L319">
        <v>3</v>
      </c>
      <c r="M319">
        <v>7</v>
      </c>
      <c r="N319" t="str">
        <f t="shared" si="32"/>
        <v>Facebook</v>
      </c>
      <c r="O319">
        <f t="shared" si="33"/>
        <v>0</v>
      </c>
      <c r="P319" t="str">
        <f t="shared" si="34"/>
        <v>7</v>
      </c>
      <c r="Q319" t="str">
        <f t="shared" si="35"/>
        <v>OK</v>
      </c>
      <c r="R319" t="b">
        <f t="shared" si="38"/>
        <v>1</v>
      </c>
      <c r="S319" t="str">
        <f t="shared" si="36"/>
        <v>High</v>
      </c>
      <c r="T319" t="str">
        <f t="shared" si="37"/>
        <v>7</v>
      </c>
      <c r="U319">
        <v>4.9000000000000004</v>
      </c>
      <c r="V319" t="b">
        <f t="shared" si="39"/>
        <v>1</v>
      </c>
    </row>
    <row r="320" spans="1:22" x14ac:dyDescent="0.25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3.9</v>
      </c>
      <c r="G320" t="s">
        <v>16</v>
      </c>
      <c r="H320" t="s">
        <v>23</v>
      </c>
      <c r="I320">
        <v>7.9</v>
      </c>
      <c r="J320">
        <v>7</v>
      </c>
      <c r="K320" t="s">
        <v>24</v>
      </c>
      <c r="L320">
        <v>2</v>
      </c>
      <c r="M320">
        <v>5</v>
      </c>
      <c r="N320" t="str">
        <f t="shared" si="32"/>
        <v>Instagram</v>
      </c>
      <c r="O320">
        <f t="shared" si="33"/>
        <v>1</v>
      </c>
      <c r="P320" t="str">
        <f t="shared" si="34"/>
        <v>7.9</v>
      </c>
      <c r="Q320" t="str">
        <f t="shared" si="35"/>
        <v>OK</v>
      </c>
      <c r="R320" t="str">
        <f t="shared" si="38"/>
        <v>medium</v>
      </c>
      <c r="S320" t="str">
        <f t="shared" si="36"/>
        <v>Medium</v>
      </c>
      <c r="T320" t="str">
        <f t="shared" si="37"/>
        <v>5</v>
      </c>
      <c r="U320">
        <v>4.9000000000000004</v>
      </c>
      <c r="V320" t="b">
        <f t="shared" si="39"/>
        <v>1</v>
      </c>
    </row>
    <row r="321" spans="1:22" x14ac:dyDescent="0.25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3.1</v>
      </c>
      <c r="G321" t="s">
        <v>32</v>
      </c>
      <c r="H321" t="s">
        <v>23</v>
      </c>
      <c r="I321">
        <v>8.4</v>
      </c>
      <c r="J321">
        <v>8</v>
      </c>
      <c r="K321" t="s">
        <v>18</v>
      </c>
      <c r="L321">
        <v>1</v>
      </c>
      <c r="M321">
        <v>4</v>
      </c>
      <c r="N321" t="str">
        <f t="shared" si="32"/>
        <v>Facebook</v>
      </c>
      <c r="O321">
        <f t="shared" si="33"/>
        <v>0</v>
      </c>
      <c r="P321" t="str">
        <f t="shared" si="34"/>
        <v>8.4</v>
      </c>
      <c r="Q321" t="str">
        <f t="shared" si="35"/>
        <v>OK</v>
      </c>
      <c r="R321" t="str">
        <f t="shared" si="38"/>
        <v>medium</v>
      </c>
      <c r="S321" t="str">
        <f t="shared" si="36"/>
        <v>Low</v>
      </c>
      <c r="T321" t="str">
        <f t="shared" si="37"/>
        <v>4</v>
      </c>
      <c r="U321">
        <v>4.9000000000000004</v>
      </c>
      <c r="V321" t="b">
        <f t="shared" si="39"/>
        <v>1</v>
      </c>
    </row>
    <row r="322" spans="1:22" x14ac:dyDescent="0.25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5.2</v>
      </c>
      <c r="G322" t="s">
        <v>16</v>
      </c>
      <c r="H322" t="s">
        <v>17</v>
      </c>
      <c r="I322">
        <v>6.8</v>
      </c>
      <c r="J322">
        <v>6</v>
      </c>
      <c r="K322" t="s">
        <v>24</v>
      </c>
      <c r="L322">
        <v>3</v>
      </c>
      <c r="M322">
        <v>7</v>
      </c>
      <c r="N322" t="str">
        <f t="shared" ref="N322:N385" si="40">PROPER(G322)</f>
        <v>Instagram</v>
      </c>
      <c r="O322">
        <f t="shared" ref="O322:O385" si="41">LEN(G322)-LEN(SUBSTITUTE(UPPER(G322),"T",""))</f>
        <v>1</v>
      </c>
      <c r="P322" t="str">
        <f t="shared" ref="P322:P385" si="42">PROPER(I322)</f>
        <v>6.8</v>
      </c>
      <c r="Q322" t="str">
        <f t="shared" ref="Q322:Q385" si="43">(IF(I322&gt;=5,"OK",IF(I322&lt;5,"LESS SLEEP")))</f>
        <v>OK</v>
      </c>
      <c r="R322" t="b">
        <f t="shared" si="38"/>
        <v>1</v>
      </c>
      <c r="S322" t="str">
        <f t="shared" ref="S322:S385" si="44">IF(M322&gt;=7,"High",IF(AND(M322&gt;4,M322&lt;7),"Medium","Low"))</f>
        <v>High</v>
      </c>
      <c r="T322" t="str">
        <f t="shared" ref="T322:T385" si="45">PROPER(M322)</f>
        <v>7</v>
      </c>
      <c r="U322">
        <v>4.9000000000000004</v>
      </c>
      <c r="V322" t="b">
        <f t="shared" si="39"/>
        <v>1</v>
      </c>
    </row>
    <row r="323" spans="1:22" x14ac:dyDescent="0.25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4.0999999999999996</v>
      </c>
      <c r="G323" t="s">
        <v>32</v>
      </c>
      <c r="H323" t="s">
        <v>23</v>
      </c>
      <c r="I323">
        <v>7.8</v>
      </c>
      <c r="J323">
        <v>8</v>
      </c>
      <c r="K323" t="s">
        <v>18</v>
      </c>
      <c r="L323">
        <v>2</v>
      </c>
      <c r="M323">
        <v>4</v>
      </c>
      <c r="N323" t="str">
        <f t="shared" si="40"/>
        <v>Facebook</v>
      </c>
      <c r="O323">
        <f t="shared" si="41"/>
        <v>0</v>
      </c>
      <c r="P323" t="str">
        <f t="shared" si="42"/>
        <v>7.8</v>
      </c>
      <c r="Q323" t="str">
        <f t="shared" si="43"/>
        <v>OK</v>
      </c>
      <c r="R323" t="str">
        <f t="shared" si="38"/>
        <v>medium</v>
      </c>
      <c r="S323" t="str">
        <f t="shared" si="44"/>
        <v>Low</v>
      </c>
      <c r="T323" t="str">
        <f t="shared" si="45"/>
        <v>4</v>
      </c>
      <c r="U323">
        <v>4.9000000000000004</v>
      </c>
      <c r="V323" t="b">
        <f t="shared" si="39"/>
        <v>1</v>
      </c>
    </row>
    <row r="324" spans="1:22" x14ac:dyDescent="0.25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5</v>
      </c>
      <c r="G324" t="s">
        <v>16</v>
      </c>
      <c r="H324" t="s">
        <v>17</v>
      </c>
      <c r="I324">
        <v>7</v>
      </c>
      <c r="J324">
        <v>7</v>
      </c>
      <c r="K324" t="s">
        <v>24</v>
      </c>
      <c r="L324">
        <v>3</v>
      </c>
      <c r="M324">
        <v>6</v>
      </c>
      <c r="N324" t="str">
        <f t="shared" si="40"/>
        <v>Instagram</v>
      </c>
      <c r="O324">
        <f t="shared" si="41"/>
        <v>1</v>
      </c>
      <c r="P324" t="str">
        <f t="shared" si="42"/>
        <v>7</v>
      </c>
      <c r="Q324" t="str">
        <f t="shared" si="43"/>
        <v>OK</v>
      </c>
      <c r="R324" t="str">
        <f t="shared" ref="R324:R387" si="46">IF(M324&gt;=7,"High"&amp;M324&gt;=4,"medium")</f>
        <v>medium</v>
      </c>
      <c r="S324" t="str">
        <f t="shared" si="44"/>
        <v>Medium</v>
      </c>
      <c r="T324" t="str">
        <f t="shared" si="45"/>
        <v>6</v>
      </c>
      <c r="U324">
        <v>4.9000000000000004</v>
      </c>
      <c r="V324" t="b">
        <f t="shared" ref="V324:V387" si="47">IF(Q324&gt;=7,"High"&amp;Q324&gt;=4,"medium")</f>
        <v>1</v>
      </c>
    </row>
    <row r="325" spans="1:22" x14ac:dyDescent="0.25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5.8</v>
      </c>
      <c r="G325" t="s">
        <v>143</v>
      </c>
      <c r="H325" t="s">
        <v>17</v>
      </c>
      <c r="I325">
        <v>6.5</v>
      </c>
      <c r="J325">
        <v>5</v>
      </c>
      <c r="K325" t="s">
        <v>18</v>
      </c>
      <c r="L325">
        <v>4</v>
      </c>
      <c r="M325">
        <v>8</v>
      </c>
      <c r="N325" t="str">
        <f t="shared" si="40"/>
        <v>Whatsapp</v>
      </c>
      <c r="O325">
        <f t="shared" si="41"/>
        <v>1</v>
      </c>
      <c r="P325" t="str">
        <f t="shared" si="42"/>
        <v>6.5</v>
      </c>
      <c r="Q325" t="str">
        <f t="shared" si="43"/>
        <v>OK</v>
      </c>
      <c r="R325" t="b">
        <f t="shared" si="46"/>
        <v>1</v>
      </c>
      <c r="S325" t="str">
        <f t="shared" si="44"/>
        <v>High</v>
      </c>
      <c r="T325" t="str">
        <f t="shared" si="45"/>
        <v>8</v>
      </c>
      <c r="U325">
        <v>4.9000000000000004</v>
      </c>
      <c r="V325" t="b">
        <f t="shared" si="47"/>
        <v>1</v>
      </c>
    </row>
    <row r="326" spans="1:22" x14ac:dyDescent="0.25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4</v>
      </c>
      <c r="G326" t="s">
        <v>16</v>
      </c>
      <c r="H326" t="s">
        <v>23</v>
      </c>
      <c r="I326">
        <v>7.9</v>
      </c>
      <c r="J326">
        <v>8</v>
      </c>
      <c r="K326" t="s">
        <v>24</v>
      </c>
      <c r="L326">
        <v>2</v>
      </c>
      <c r="M326">
        <v>4</v>
      </c>
      <c r="N326" t="str">
        <f t="shared" si="40"/>
        <v>Instagram</v>
      </c>
      <c r="O326">
        <f t="shared" si="41"/>
        <v>1</v>
      </c>
      <c r="P326" t="str">
        <f t="shared" si="42"/>
        <v>7.9</v>
      </c>
      <c r="Q326" t="str">
        <f t="shared" si="43"/>
        <v>OK</v>
      </c>
      <c r="R326" t="str">
        <f t="shared" si="46"/>
        <v>medium</v>
      </c>
      <c r="S326" t="str">
        <f t="shared" si="44"/>
        <v>Low</v>
      </c>
      <c r="T326" t="str">
        <f t="shared" si="45"/>
        <v>4</v>
      </c>
      <c r="U326">
        <v>4.9000000000000004</v>
      </c>
      <c r="V326" t="b">
        <f t="shared" si="47"/>
        <v>1</v>
      </c>
    </row>
    <row r="327" spans="1:22" x14ac:dyDescent="0.25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5.5</v>
      </c>
      <c r="G327" t="s">
        <v>16</v>
      </c>
      <c r="H327" t="s">
        <v>17</v>
      </c>
      <c r="I327">
        <v>6.7</v>
      </c>
      <c r="J327">
        <v>6</v>
      </c>
      <c r="K327" t="s">
        <v>24</v>
      </c>
      <c r="L327">
        <v>3</v>
      </c>
      <c r="M327">
        <v>7</v>
      </c>
      <c r="N327" t="str">
        <f t="shared" si="40"/>
        <v>Instagram</v>
      </c>
      <c r="O327">
        <f t="shared" si="41"/>
        <v>1</v>
      </c>
      <c r="P327" t="str">
        <f t="shared" si="42"/>
        <v>6.7</v>
      </c>
      <c r="Q327" t="str">
        <f t="shared" si="43"/>
        <v>OK</v>
      </c>
      <c r="R327" t="b">
        <f t="shared" si="46"/>
        <v>1</v>
      </c>
      <c r="S327" t="str">
        <f t="shared" si="44"/>
        <v>High</v>
      </c>
      <c r="T327" t="str">
        <f t="shared" si="45"/>
        <v>7</v>
      </c>
      <c r="U327">
        <v>4.9000000000000004</v>
      </c>
      <c r="V327" t="b">
        <f t="shared" si="47"/>
        <v>1</v>
      </c>
    </row>
    <row r="328" spans="1:22" x14ac:dyDescent="0.25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6.8</v>
      </c>
      <c r="G328" t="s">
        <v>26</v>
      </c>
      <c r="H328" t="s">
        <v>17</v>
      </c>
      <c r="I328">
        <v>5.5</v>
      </c>
      <c r="J328">
        <v>5</v>
      </c>
      <c r="K328" t="s">
        <v>18</v>
      </c>
      <c r="L328">
        <v>4</v>
      </c>
      <c r="M328">
        <v>9</v>
      </c>
      <c r="N328" t="str">
        <f t="shared" si="40"/>
        <v>Tiktok</v>
      </c>
      <c r="O328">
        <f t="shared" si="41"/>
        <v>2</v>
      </c>
      <c r="P328" t="str">
        <f t="shared" si="42"/>
        <v>5.5</v>
      </c>
      <c r="Q328" t="str">
        <f t="shared" si="43"/>
        <v>OK</v>
      </c>
      <c r="R328" t="b">
        <f t="shared" si="46"/>
        <v>1</v>
      </c>
      <c r="S328" t="str">
        <f t="shared" si="44"/>
        <v>High</v>
      </c>
      <c r="T328" t="str">
        <f t="shared" si="45"/>
        <v>9</v>
      </c>
      <c r="U328">
        <v>4.9000000000000004</v>
      </c>
      <c r="V328" t="b">
        <f t="shared" si="47"/>
        <v>1</v>
      </c>
    </row>
    <row r="329" spans="1:22" x14ac:dyDescent="0.25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5.6</v>
      </c>
      <c r="G329" t="s">
        <v>143</v>
      </c>
      <c r="H329" t="s">
        <v>17</v>
      </c>
      <c r="I329">
        <v>6.6</v>
      </c>
      <c r="J329">
        <v>6</v>
      </c>
      <c r="K329" t="s">
        <v>24</v>
      </c>
      <c r="L329">
        <v>3</v>
      </c>
      <c r="M329">
        <v>7</v>
      </c>
      <c r="N329" t="str">
        <f t="shared" si="40"/>
        <v>Whatsapp</v>
      </c>
      <c r="O329">
        <f t="shared" si="41"/>
        <v>1</v>
      </c>
      <c r="P329" t="str">
        <f t="shared" si="42"/>
        <v>6.6</v>
      </c>
      <c r="Q329" t="str">
        <f t="shared" si="43"/>
        <v>OK</v>
      </c>
      <c r="R329" t="b">
        <f t="shared" si="46"/>
        <v>1</v>
      </c>
      <c r="S329" t="str">
        <f t="shared" si="44"/>
        <v>High</v>
      </c>
      <c r="T329" t="str">
        <f t="shared" si="45"/>
        <v>7</v>
      </c>
      <c r="U329">
        <v>4.9000000000000004</v>
      </c>
      <c r="V329" t="b">
        <f t="shared" si="47"/>
        <v>1</v>
      </c>
    </row>
    <row r="330" spans="1:22" x14ac:dyDescent="0.25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4.5</v>
      </c>
      <c r="G330" t="s">
        <v>16</v>
      </c>
      <c r="H330" t="s">
        <v>23</v>
      </c>
      <c r="I330">
        <v>7.5</v>
      </c>
      <c r="J330">
        <v>7</v>
      </c>
      <c r="K330" t="s">
        <v>18</v>
      </c>
      <c r="L330">
        <v>2</v>
      </c>
      <c r="M330">
        <v>5</v>
      </c>
      <c r="N330" t="str">
        <f t="shared" si="40"/>
        <v>Instagram</v>
      </c>
      <c r="O330">
        <f t="shared" si="41"/>
        <v>1</v>
      </c>
      <c r="P330" t="str">
        <f t="shared" si="42"/>
        <v>7.5</v>
      </c>
      <c r="Q330" t="str">
        <f t="shared" si="43"/>
        <v>OK</v>
      </c>
      <c r="R330" t="str">
        <f t="shared" si="46"/>
        <v>medium</v>
      </c>
      <c r="S330" t="str">
        <f t="shared" si="44"/>
        <v>Medium</v>
      </c>
      <c r="T330" t="str">
        <f t="shared" si="45"/>
        <v>5</v>
      </c>
      <c r="U330">
        <v>4.8</v>
      </c>
      <c r="V330" t="b">
        <f t="shared" si="47"/>
        <v>1</v>
      </c>
    </row>
    <row r="331" spans="1:22" x14ac:dyDescent="0.25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5.3</v>
      </c>
      <c r="G331" t="s">
        <v>16</v>
      </c>
      <c r="H331" t="s">
        <v>17</v>
      </c>
      <c r="I331">
        <v>6.9</v>
      </c>
      <c r="J331">
        <v>6</v>
      </c>
      <c r="K331" t="s">
        <v>24</v>
      </c>
      <c r="L331">
        <v>3</v>
      </c>
      <c r="M331">
        <v>7</v>
      </c>
      <c r="N331" t="str">
        <f t="shared" si="40"/>
        <v>Instagram</v>
      </c>
      <c r="O331">
        <f t="shared" si="41"/>
        <v>1</v>
      </c>
      <c r="P331" t="str">
        <f t="shared" si="42"/>
        <v>6.9</v>
      </c>
      <c r="Q331" t="str">
        <f t="shared" si="43"/>
        <v>OK</v>
      </c>
      <c r="R331" t="b">
        <f t="shared" si="46"/>
        <v>1</v>
      </c>
      <c r="S331" t="str">
        <f t="shared" si="44"/>
        <v>High</v>
      </c>
      <c r="T331" t="str">
        <f t="shared" si="45"/>
        <v>7</v>
      </c>
      <c r="U331">
        <v>4.8</v>
      </c>
      <c r="V331" t="b">
        <f t="shared" si="47"/>
        <v>1</v>
      </c>
    </row>
    <row r="332" spans="1:22" x14ac:dyDescent="0.25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5.0999999999999996</v>
      </c>
      <c r="G332" t="s">
        <v>26</v>
      </c>
      <c r="H332" t="s">
        <v>17</v>
      </c>
      <c r="I332">
        <v>6.7</v>
      </c>
      <c r="J332">
        <v>6</v>
      </c>
      <c r="K332" t="s">
        <v>24</v>
      </c>
      <c r="L332">
        <v>3</v>
      </c>
      <c r="M332">
        <v>7</v>
      </c>
      <c r="N332" t="str">
        <f t="shared" si="40"/>
        <v>Tiktok</v>
      </c>
      <c r="O332">
        <f t="shared" si="41"/>
        <v>2</v>
      </c>
      <c r="P332" t="str">
        <f t="shared" si="42"/>
        <v>6.7</v>
      </c>
      <c r="Q332" t="str">
        <f t="shared" si="43"/>
        <v>OK</v>
      </c>
      <c r="R332" t="b">
        <f t="shared" si="46"/>
        <v>1</v>
      </c>
      <c r="S332" t="str">
        <f t="shared" si="44"/>
        <v>High</v>
      </c>
      <c r="T332" t="str">
        <f t="shared" si="45"/>
        <v>7</v>
      </c>
      <c r="U332">
        <v>4.8</v>
      </c>
      <c r="V332" t="b">
        <f t="shared" si="47"/>
        <v>1</v>
      </c>
    </row>
    <row r="333" spans="1:22" x14ac:dyDescent="0.25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3.9</v>
      </c>
      <c r="G333" t="s">
        <v>32</v>
      </c>
      <c r="H333" t="s">
        <v>23</v>
      </c>
      <c r="I333">
        <v>7.9</v>
      </c>
      <c r="J333">
        <v>8</v>
      </c>
      <c r="K333" t="s">
        <v>18</v>
      </c>
      <c r="L333">
        <v>2</v>
      </c>
      <c r="M333">
        <v>4</v>
      </c>
      <c r="N333" t="str">
        <f t="shared" si="40"/>
        <v>Facebook</v>
      </c>
      <c r="O333">
        <f t="shared" si="41"/>
        <v>0</v>
      </c>
      <c r="P333" t="str">
        <f t="shared" si="42"/>
        <v>7.9</v>
      </c>
      <c r="Q333" t="str">
        <f t="shared" si="43"/>
        <v>OK</v>
      </c>
      <c r="R333" t="str">
        <f t="shared" si="46"/>
        <v>medium</v>
      </c>
      <c r="S333" t="str">
        <f t="shared" si="44"/>
        <v>Low</v>
      </c>
      <c r="T333" t="str">
        <f t="shared" si="45"/>
        <v>4</v>
      </c>
      <c r="U333">
        <v>4.8</v>
      </c>
      <c r="V333" t="b">
        <f t="shared" si="47"/>
        <v>1</v>
      </c>
    </row>
    <row r="334" spans="1:22" x14ac:dyDescent="0.25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4.8</v>
      </c>
      <c r="G334" t="s">
        <v>16</v>
      </c>
      <c r="H334" t="s">
        <v>17</v>
      </c>
      <c r="I334">
        <v>7.1</v>
      </c>
      <c r="J334">
        <v>7</v>
      </c>
      <c r="K334" t="s">
        <v>24</v>
      </c>
      <c r="L334">
        <v>3</v>
      </c>
      <c r="M334">
        <v>6</v>
      </c>
      <c r="N334" t="str">
        <f t="shared" si="40"/>
        <v>Instagram</v>
      </c>
      <c r="O334">
        <f t="shared" si="41"/>
        <v>1</v>
      </c>
      <c r="P334" t="str">
        <f t="shared" si="42"/>
        <v>7.1</v>
      </c>
      <c r="Q334" t="str">
        <f t="shared" si="43"/>
        <v>OK</v>
      </c>
      <c r="R334" t="str">
        <f t="shared" si="46"/>
        <v>medium</v>
      </c>
      <c r="S334" t="str">
        <f t="shared" si="44"/>
        <v>Medium</v>
      </c>
      <c r="T334" t="str">
        <f t="shared" si="45"/>
        <v>6</v>
      </c>
      <c r="U334">
        <v>4.8</v>
      </c>
      <c r="V334" t="b">
        <f t="shared" si="47"/>
        <v>1</v>
      </c>
    </row>
    <row r="335" spans="1:22" x14ac:dyDescent="0.25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5.9</v>
      </c>
      <c r="G335" t="s">
        <v>143</v>
      </c>
      <c r="H335" t="s">
        <v>17</v>
      </c>
      <c r="I335">
        <v>6.4</v>
      </c>
      <c r="J335">
        <v>5</v>
      </c>
      <c r="K335" t="s">
        <v>18</v>
      </c>
      <c r="L335">
        <v>4</v>
      </c>
      <c r="M335">
        <v>8</v>
      </c>
      <c r="N335" t="str">
        <f t="shared" si="40"/>
        <v>Whatsapp</v>
      </c>
      <c r="O335">
        <f t="shared" si="41"/>
        <v>1</v>
      </c>
      <c r="P335" t="str">
        <f t="shared" si="42"/>
        <v>6.4</v>
      </c>
      <c r="Q335" t="str">
        <f t="shared" si="43"/>
        <v>OK</v>
      </c>
      <c r="R335" t="b">
        <f t="shared" si="46"/>
        <v>1</v>
      </c>
      <c r="S335" t="str">
        <f t="shared" si="44"/>
        <v>High</v>
      </c>
      <c r="T335" t="str">
        <f t="shared" si="45"/>
        <v>8</v>
      </c>
      <c r="U335">
        <v>4.8</v>
      </c>
      <c r="V335" t="b">
        <f t="shared" si="47"/>
        <v>1</v>
      </c>
    </row>
    <row r="336" spans="1:22" x14ac:dyDescent="0.25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3.8</v>
      </c>
      <c r="G336" t="s">
        <v>16</v>
      </c>
      <c r="H336" t="s">
        <v>23</v>
      </c>
      <c r="I336">
        <v>8</v>
      </c>
      <c r="J336">
        <v>8</v>
      </c>
      <c r="K336" t="s">
        <v>24</v>
      </c>
      <c r="L336">
        <v>2</v>
      </c>
      <c r="M336">
        <v>4</v>
      </c>
      <c r="N336" t="str">
        <f t="shared" si="40"/>
        <v>Instagram</v>
      </c>
      <c r="O336">
        <f t="shared" si="41"/>
        <v>1</v>
      </c>
      <c r="P336" t="str">
        <f t="shared" si="42"/>
        <v>8</v>
      </c>
      <c r="Q336" t="str">
        <f t="shared" si="43"/>
        <v>OK</v>
      </c>
      <c r="R336" t="str">
        <f t="shared" si="46"/>
        <v>medium</v>
      </c>
      <c r="S336" t="str">
        <f t="shared" si="44"/>
        <v>Low</v>
      </c>
      <c r="T336" t="str">
        <f t="shared" si="45"/>
        <v>4</v>
      </c>
      <c r="U336">
        <v>4.8</v>
      </c>
      <c r="V336" t="b">
        <f t="shared" si="47"/>
        <v>1</v>
      </c>
    </row>
    <row r="337" spans="1:22" x14ac:dyDescent="0.25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5.4</v>
      </c>
      <c r="G337" t="s">
        <v>26</v>
      </c>
      <c r="H337" t="s">
        <v>17</v>
      </c>
      <c r="I337">
        <v>6.8</v>
      </c>
      <c r="J337">
        <v>6</v>
      </c>
      <c r="K337" t="s">
        <v>24</v>
      </c>
      <c r="L337">
        <v>3</v>
      </c>
      <c r="M337">
        <v>7</v>
      </c>
      <c r="N337" t="str">
        <f t="shared" si="40"/>
        <v>Tiktok</v>
      </c>
      <c r="O337">
        <f t="shared" si="41"/>
        <v>2</v>
      </c>
      <c r="P337" t="str">
        <f t="shared" si="42"/>
        <v>6.8</v>
      </c>
      <c r="Q337" t="str">
        <f t="shared" si="43"/>
        <v>OK</v>
      </c>
      <c r="R337" t="b">
        <f t="shared" si="46"/>
        <v>1</v>
      </c>
      <c r="S337" t="str">
        <f t="shared" si="44"/>
        <v>High</v>
      </c>
      <c r="T337" t="str">
        <f t="shared" si="45"/>
        <v>7</v>
      </c>
      <c r="U337">
        <v>4.8</v>
      </c>
      <c r="V337" t="b">
        <f t="shared" si="47"/>
        <v>1</v>
      </c>
    </row>
    <row r="338" spans="1:22" x14ac:dyDescent="0.25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6.9</v>
      </c>
      <c r="G338" t="s">
        <v>16</v>
      </c>
      <c r="H338" t="s">
        <v>17</v>
      </c>
      <c r="I338">
        <v>5.4</v>
      </c>
      <c r="J338">
        <v>5</v>
      </c>
      <c r="K338" t="s">
        <v>18</v>
      </c>
      <c r="L338">
        <v>4</v>
      </c>
      <c r="M338">
        <v>9</v>
      </c>
      <c r="N338" t="str">
        <f t="shared" si="40"/>
        <v>Instagram</v>
      </c>
      <c r="O338">
        <f t="shared" si="41"/>
        <v>1</v>
      </c>
      <c r="P338" t="str">
        <f t="shared" si="42"/>
        <v>5.4</v>
      </c>
      <c r="Q338" t="str">
        <f t="shared" si="43"/>
        <v>OK</v>
      </c>
      <c r="R338" t="b">
        <f t="shared" si="46"/>
        <v>1</v>
      </c>
      <c r="S338" t="str">
        <f t="shared" si="44"/>
        <v>High</v>
      </c>
      <c r="T338" t="str">
        <f t="shared" si="45"/>
        <v>9</v>
      </c>
      <c r="U338">
        <v>4.8</v>
      </c>
      <c r="V338" t="b">
        <f t="shared" si="47"/>
        <v>1</v>
      </c>
    </row>
    <row r="339" spans="1:22" x14ac:dyDescent="0.25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5.7</v>
      </c>
      <c r="G339" t="s">
        <v>143</v>
      </c>
      <c r="H339" t="s">
        <v>17</v>
      </c>
      <c r="I339">
        <v>6.5</v>
      </c>
      <c r="J339">
        <v>6</v>
      </c>
      <c r="K339" t="s">
        <v>24</v>
      </c>
      <c r="L339">
        <v>3</v>
      </c>
      <c r="M339">
        <v>7</v>
      </c>
      <c r="N339" t="str">
        <f t="shared" si="40"/>
        <v>Whatsapp</v>
      </c>
      <c r="O339">
        <f t="shared" si="41"/>
        <v>1</v>
      </c>
      <c r="P339" t="str">
        <f t="shared" si="42"/>
        <v>6.5</v>
      </c>
      <c r="Q339" t="str">
        <f t="shared" si="43"/>
        <v>OK</v>
      </c>
      <c r="R339" t="b">
        <f t="shared" si="46"/>
        <v>1</v>
      </c>
      <c r="S339" t="str">
        <f t="shared" si="44"/>
        <v>High</v>
      </c>
      <c r="T339" t="str">
        <f t="shared" si="45"/>
        <v>7</v>
      </c>
      <c r="U339">
        <v>4.8</v>
      </c>
      <c r="V339" t="b">
        <f t="shared" si="47"/>
        <v>1</v>
      </c>
    </row>
    <row r="340" spans="1:22" x14ac:dyDescent="0.25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4.4000000000000004</v>
      </c>
      <c r="G340" t="s">
        <v>16</v>
      </c>
      <c r="H340" t="s">
        <v>23</v>
      </c>
      <c r="I340">
        <v>7.6</v>
      </c>
      <c r="J340">
        <v>7</v>
      </c>
      <c r="K340" t="s">
        <v>18</v>
      </c>
      <c r="L340">
        <v>2</v>
      </c>
      <c r="M340">
        <v>5</v>
      </c>
      <c r="N340" t="str">
        <f t="shared" si="40"/>
        <v>Instagram</v>
      </c>
      <c r="O340">
        <f t="shared" si="41"/>
        <v>1</v>
      </c>
      <c r="P340" t="str">
        <f t="shared" si="42"/>
        <v>7.6</v>
      </c>
      <c r="Q340" t="str">
        <f t="shared" si="43"/>
        <v>OK</v>
      </c>
      <c r="R340" t="str">
        <f t="shared" si="46"/>
        <v>medium</v>
      </c>
      <c r="S340" t="str">
        <f t="shared" si="44"/>
        <v>Medium</v>
      </c>
      <c r="T340" t="str">
        <f t="shared" si="45"/>
        <v>5</v>
      </c>
      <c r="U340">
        <v>4.8</v>
      </c>
      <c r="V340" t="b">
        <f t="shared" si="47"/>
        <v>1</v>
      </c>
    </row>
    <row r="341" spans="1:22" x14ac:dyDescent="0.25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5.2</v>
      </c>
      <c r="G341" t="s">
        <v>26</v>
      </c>
      <c r="H341" t="s">
        <v>17</v>
      </c>
      <c r="I341">
        <v>7</v>
      </c>
      <c r="J341">
        <v>6</v>
      </c>
      <c r="K341" t="s">
        <v>24</v>
      </c>
      <c r="L341">
        <v>3</v>
      </c>
      <c r="M341">
        <v>7</v>
      </c>
      <c r="N341" t="str">
        <f t="shared" si="40"/>
        <v>Tiktok</v>
      </c>
      <c r="O341">
        <f t="shared" si="41"/>
        <v>2</v>
      </c>
      <c r="P341" t="str">
        <f t="shared" si="42"/>
        <v>7</v>
      </c>
      <c r="Q341" t="str">
        <f t="shared" si="43"/>
        <v>OK</v>
      </c>
      <c r="R341" t="b">
        <f t="shared" si="46"/>
        <v>1</v>
      </c>
      <c r="S341" t="str">
        <f t="shared" si="44"/>
        <v>High</v>
      </c>
      <c r="T341" t="str">
        <f t="shared" si="45"/>
        <v>7</v>
      </c>
      <c r="U341">
        <v>4.8</v>
      </c>
      <c r="V341" t="b">
        <f t="shared" si="47"/>
        <v>1</v>
      </c>
    </row>
    <row r="342" spans="1:22" x14ac:dyDescent="0.25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5</v>
      </c>
      <c r="G342" t="s">
        <v>16</v>
      </c>
      <c r="H342" t="s">
        <v>17</v>
      </c>
      <c r="I342">
        <v>6.9</v>
      </c>
      <c r="J342">
        <v>6</v>
      </c>
      <c r="K342" t="s">
        <v>24</v>
      </c>
      <c r="L342">
        <v>3</v>
      </c>
      <c r="M342">
        <v>7</v>
      </c>
      <c r="N342" t="str">
        <f t="shared" si="40"/>
        <v>Instagram</v>
      </c>
      <c r="O342">
        <f t="shared" si="41"/>
        <v>1</v>
      </c>
      <c r="P342" t="str">
        <f t="shared" si="42"/>
        <v>6.9</v>
      </c>
      <c r="Q342" t="str">
        <f t="shared" si="43"/>
        <v>OK</v>
      </c>
      <c r="R342" t="b">
        <f t="shared" si="46"/>
        <v>1</v>
      </c>
      <c r="S342" t="str">
        <f t="shared" si="44"/>
        <v>High</v>
      </c>
      <c r="T342" t="str">
        <f t="shared" si="45"/>
        <v>7</v>
      </c>
      <c r="U342">
        <v>4.8</v>
      </c>
      <c r="V342" t="b">
        <f t="shared" si="47"/>
        <v>1</v>
      </c>
    </row>
    <row r="343" spans="1:22" x14ac:dyDescent="0.25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3.8</v>
      </c>
      <c r="G343" t="s">
        <v>32</v>
      </c>
      <c r="H343" t="s">
        <v>23</v>
      </c>
      <c r="I343">
        <v>8</v>
      </c>
      <c r="J343">
        <v>8</v>
      </c>
      <c r="K343" t="s">
        <v>18</v>
      </c>
      <c r="L343">
        <v>2</v>
      </c>
      <c r="M343">
        <v>4</v>
      </c>
      <c r="N343" t="str">
        <f t="shared" si="40"/>
        <v>Facebook</v>
      </c>
      <c r="O343">
        <f t="shared" si="41"/>
        <v>0</v>
      </c>
      <c r="P343" t="str">
        <f t="shared" si="42"/>
        <v>8</v>
      </c>
      <c r="Q343" t="str">
        <f t="shared" si="43"/>
        <v>OK</v>
      </c>
      <c r="R343" t="str">
        <f t="shared" si="46"/>
        <v>medium</v>
      </c>
      <c r="S343" t="str">
        <f t="shared" si="44"/>
        <v>Low</v>
      </c>
      <c r="T343" t="str">
        <f t="shared" si="45"/>
        <v>4</v>
      </c>
      <c r="U343">
        <v>4.8</v>
      </c>
      <c r="V343" t="b">
        <f t="shared" si="47"/>
        <v>1</v>
      </c>
    </row>
    <row r="344" spans="1:22" x14ac:dyDescent="0.25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4.7</v>
      </c>
      <c r="G344" t="s">
        <v>26</v>
      </c>
      <c r="H344" t="s">
        <v>17</v>
      </c>
      <c r="I344">
        <v>7.2</v>
      </c>
      <c r="J344">
        <v>7</v>
      </c>
      <c r="K344" t="s">
        <v>24</v>
      </c>
      <c r="L344">
        <v>3</v>
      </c>
      <c r="M344">
        <v>6</v>
      </c>
      <c r="N344" t="str">
        <f t="shared" si="40"/>
        <v>Tiktok</v>
      </c>
      <c r="O344">
        <f t="shared" si="41"/>
        <v>2</v>
      </c>
      <c r="P344" t="str">
        <f t="shared" si="42"/>
        <v>7.2</v>
      </c>
      <c r="Q344" t="str">
        <f t="shared" si="43"/>
        <v>OK</v>
      </c>
      <c r="R344" t="str">
        <f t="shared" si="46"/>
        <v>medium</v>
      </c>
      <c r="S344" t="str">
        <f t="shared" si="44"/>
        <v>Medium</v>
      </c>
      <c r="T344" t="str">
        <f t="shared" si="45"/>
        <v>6</v>
      </c>
      <c r="U344">
        <v>4.8</v>
      </c>
      <c r="V344" t="b">
        <f t="shared" si="47"/>
        <v>1</v>
      </c>
    </row>
    <row r="345" spans="1:22" x14ac:dyDescent="0.25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</v>
      </c>
      <c r="G345" t="s">
        <v>143</v>
      </c>
      <c r="H345" t="s">
        <v>17</v>
      </c>
      <c r="I345">
        <v>6.3</v>
      </c>
      <c r="J345">
        <v>5</v>
      </c>
      <c r="K345" t="s">
        <v>18</v>
      </c>
      <c r="L345">
        <v>4</v>
      </c>
      <c r="M345">
        <v>8</v>
      </c>
      <c r="N345" t="str">
        <f t="shared" si="40"/>
        <v>Whatsapp</v>
      </c>
      <c r="O345">
        <f t="shared" si="41"/>
        <v>1</v>
      </c>
      <c r="P345" t="str">
        <f t="shared" si="42"/>
        <v>6.3</v>
      </c>
      <c r="Q345" t="str">
        <f t="shared" si="43"/>
        <v>OK</v>
      </c>
      <c r="R345" t="b">
        <f t="shared" si="46"/>
        <v>1</v>
      </c>
      <c r="S345" t="str">
        <f t="shared" si="44"/>
        <v>High</v>
      </c>
      <c r="T345" t="str">
        <f t="shared" si="45"/>
        <v>8</v>
      </c>
      <c r="U345">
        <v>4.8</v>
      </c>
      <c r="V345" t="b">
        <f t="shared" si="47"/>
        <v>1</v>
      </c>
    </row>
    <row r="346" spans="1:22" x14ac:dyDescent="0.25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3.7</v>
      </c>
      <c r="G346" t="s">
        <v>16</v>
      </c>
      <c r="H346" t="s">
        <v>23</v>
      </c>
      <c r="I346">
        <v>8.1</v>
      </c>
      <c r="J346">
        <v>8</v>
      </c>
      <c r="K346" t="s">
        <v>24</v>
      </c>
      <c r="L346">
        <v>2</v>
      </c>
      <c r="M346">
        <v>4</v>
      </c>
      <c r="N346" t="str">
        <f t="shared" si="40"/>
        <v>Instagram</v>
      </c>
      <c r="O346">
        <f t="shared" si="41"/>
        <v>1</v>
      </c>
      <c r="P346" t="str">
        <f t="shared" si="42"/>
        <v>8.1</v>
      </c>
      <c r="Q346" t="str">
        <f t="shared" si="43"/>
        <v>OK</v>
      </c>
      <c r="R346" t="str">
        <f t="shared" si="46"/>
        <v>medium</v>
      </c>
      <c r="S346" t="str">
        <f t="shared" si="44"/>
        <v>Low</v>
      </c>
      <c r="T346" t="str">
        <f t="shared" si="45"/>
        <v>4</v>
      </c>
      <c r="U346">
        <v>4.8</v>
      </c>
      <c r="V346" t="b">
        <f t="shared" si="47"/>
        <v>1</v>
      </c>
    </row>
    <row r="347" spans="1:22" x14ac:dyDescent="0.25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5.3</v>
      </c>
      <c r="G347" t="s">
        <v>16</v>
      </c>
      <c r="H347" t="s">
        <v>17</v>
      </c>
      <c r="I347">
        <v>6.9</v>
      </c>
      <c r="J347">
        <v>6</v>
      </c>
      <c r="K347" t="s">
        <v>24</v>
      </c>
      <c r="L347">
        <v>3</v>
      </c>
      <c r="M347">
        <v>7</v>
      </c>
      <c r="N347" t="str">
        <f t="shared" si="40"/>
        <v>Instagram</v>
      </c>
      <c r="O347">
        <f t="shared" si="41"/>
        <v>1</v>
      </c>
      <c r="P347" t="str">
        <f t="shared" si="42"/>
        <v>6.9</v>
      </c>
      <c r="Q347" t="str">
        <f t="shared" si="43"/>
        <v>OK</v>
      </c>
      <c r="R347" t="b">
        <f t="shared" si="46"/>
        <v>1</v>
      </c>
      <c r="S347" t="str">
        <f t="shared" si="44"/>
        <v>High</v>
      </c>
      <c r="T347" t="str">
        <f t="shared" si="45"/>
        <v>7</v>
      </c>
      <c r="U347">
        <v>4.8</v>
      </c>
      <c r="V347" t="b">
        <f t="shared" si="47"/>
        <v>1</v>
      </c>
    </row>
    <row r="348" spans="1:22" x14ac:dyDescent="0.25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7</v>
      </c>
      <c r="G348" t="s">
        <v>26</v>
      </c>
      <c r="H348" t="s">
        <v>17</v>
      </c>
      <c r="I348">
        <v>5.3</v>
      </c>
      <c r="J348">
        <v>5</v>
      </c>
      <c r="K348" t="s">
        <v>18</v>
      </c>
      <c r="L348">
        <v>4</v>
      </c>
      <c r="M348">
        <v>9</v>
      </c>
      <c r="N348" t="str">
        <f t="shared" si="40"/>
        <v>Tiktok</v>
      </c>
      <c r="O348">
        <f t="shared" si="41"/>
        <v>2</v>
      </c>
      <c r="P348" t="str">
        <f t="shared" si="42"/>
        <v>5.3</v>
      </c>
      <c r="Q348" t="str">
        <f t="shared" si="43"/>
        <v>OK</v>
      </c>
      <c r="R348" t="b">
        <f t="shared" si="46"/>
        <v>1</v>
      </c>
      <c r="S348" t="str">
        <f t="shared" si="44"/>
        <v>High</v>
      </c>
      <c r="T348" t="str">
        <f t="shared" si="45"/>
        <v>9</v>
      </c>
      <c r="U348">
        <v>4.8</v>
      </c>
      <c r="V348" t="b">
        <f t="shared" si="47"/>
        <v>1</v>
      </c>
    </row>
    <row r="349" spans="1:22" x14ac:dyDescent="0.25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5.8</v>
      </c>
      <c r="G349" t="s">
        <v>143</v>
      </c>
      <c r="H349" t="s">
        <v>17</v>
      </c>
      <c r="I349">
        <v>6.4</v>
      </c>
      <c r="J349">
        <v>6</v>
      </c>
      <c r="K349" t="s">
        <v>24</v>
      </c>
      <c r="L349">
        <v>3</v>
      </c>
      <c r="M349">
        <v>7</v>
      </c>
      <c r="N349" t="str">
        <f t="shared" si="40"/>
        <v>Whatsapp</v>
      </c>
      <c r="O349">
        <f t="shared" si="41"/>
        <v>1</v>
      </c>
      <c r="P349" t="str">
        <f t="shared" si="42"/>
        <v>6.4</v>
      </c>
      <c r="Q349" t="str">
        <f t="shared" si="43"/>
        <v>OK</v>
      </c>
      <c r="R349" t="b">
        <f t="shared" si="46"/>
        <v>1</v>
      </c>
      <c r="S349" t="str">
        <f t="shared" si="44"/>
        <v>High</v>
      </c>
      <c r="T349" t="str">
        <f t="shared" si="45"/>
        <v>7</v>
      </c>
      <c r="U349">
        <v>4.8</v>
      </c>
      <c r="V349" t="b">
        <f t="shared" si="47"/>
        <v>1</v>
      </c>
    </row>
    <row r="350" spans="1:22" x14ac:dyDescent="0.25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4.3</v>
      </c>
      <c r="G350" t="s">
        <v>16</v>
      </c>
      <c r="H350" t="s">
        <v>23</v>
      </c>
      <c r="I350">
        <v>7.7</v>
      </c>
      <c r="J350">
        <v>7</v>
      </c>
      <c r="K350" t="s">
        <v>18</v>
      </c>
      <c r="L350">
        <v>2</v>
      </c>
      <c r="M350">
        <v>5</v>
      </c>
      <c r="N350" t="str">
        <f t="shared" si="40"/>
        <v>Instagram</v>
      </c>
      <c r="O350">
        <f t="shared" si="41"/>
        <v>1</v>
      </c>
      <c r="P350" t="str">
        <f t="shared" si="42"/>
        <v>7.7</v>
      </c>
      <c r="Q350" t="str">
        <f t="shared" si="43"/>
        <v>OK</v>
      </c>
      <c r="R350" t="str">
        <f t="shared" si="46"/>
        <v>medium</v>
      </c>
      <c r="S350" t="str">
        <f t="shared" si="44"/>
        <v>Medium</v>
      </c>
      <c r="T350" t="str">
        <f t="shared" si="45"/>
        <v>5</v>
      </c>
      <c r="U350">
        <v>4.8</v>
      </c>
      <c r="V350" t="b">
        <f t="shared" si="47"/>
        <v>1</v>
      </c>
    </row>
    <row r="351" spans="1:22" x14ac:dyDescent="0.25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5.0999999999999996</v>
      </c>
      <c r="G351" t="s">
        <v>16</v>
      </c>
      <c r="H351" t="s">
        <v>17</v>
      </c>
      <c r="I351">
        <v>7.1</v>
      </c>
      <c r="J351">
        <v>6</v>
      </c>
      <c r="K351" t="s">
        <v>24</v>
      </c>
      <c r="L351">
        <v>3</v>
      </c>
      <c r="M351">
        <v>7</v>
      </c>
      <c r="N351" t="str">
        <f t="shared" si="40"/>
        <v>Instagram</v>
      </c>
      <c r="O351">
        <f t="shared" si="41"/>
        <v>1</v>
      </c>
      <c r="P351" t="str">
        <f t="shared" si="42"/>
        <v>7.1</v>
      </c>
      <c r="Q351" t="str">
        <f t="shared" si="43"/>
        <v>OK</v>
      </c>
      <c r="R351" t="b">
        <f t="shared" si="46"/>
        <v>1</v>
      </c>
      <c r="S351" t="str">
        <f t="shared" si="44"/>
        <v>High</v>
      </c>
      <c r="T351" t="str">
        <f t="shared" si="45"/>
        <v>7</v>
      </c>
      <c r="U351">
        <v>4.8</v>
      </c>
      <c r="V351" t="b">
        <f t="shared" si="47"/>
        <v>1</v>
      </c>
    </row>
    <row r="352" spans="1:22" x14ac:dyDescent="0.25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4.9000000000000004</v>
      </c>
      <c r="G352" t="s">
        <v>26</v>
      </c>
      <c r="H352" t="s">
        <v>17</v>
      </c>
      <c r="I352">
        <v>7</v>
      </c>
      <c r="J352">
        <v>6</v>
      </c>
      <c r="K352" t="s">
        <v>24</v>
      </c>
      <c r="L352">
        <v>3</v>
      </c>
      <c r="M352">
        <v>7</v>
      </c>
      <c r="N352" t="str">
        <f t="shared" si="40"/>
        <v>Tiktok</v>
      </c>
      <c r="O352">
        <f t="shared" si="41"/>
        <v>2</v>
      </c>
      <c r="P352" t="str">
        <f t="shared" si="42"/>
        <v>7</v>
      </c>
      <c r="Q352" t="str">
        <f t="shared" si="43"/>
        <v>OK</v>
      </c>
      <c r="R352" t="b">
        <f t="shared" si="46"/>
        <v>1</v>
      </c>
      <c r="S352" t="str">
        <f t="shared" si="44"/>
        <v>High</v>
      </c>
      <c r="T352" t="str">
        <f t="shared" si="45"/>
        <v>7</v>
      </c>
      <c r="U352">
        <v>4.8</v>
      </c>
      <c r="V352" t="b">
        <f t="shared" si="47"/>
        <v>1</v>
      </c>
    </row>
    <row r="353" spans="1:22" x14ac:dyDescent="0.25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3.7</v>
      </c>
      <c r="G353" t="s">
        <v>32</v>
      </c>
      <c r="H353" t="s">
        <v>23</v>
      </c>
      <c r="I353">
        <v>8.1</v>
      </c>
      <c r="J353">
        <v>8</v>
      </c>
      <c r="K353" t="s">
        <v>18</v>
      </c>
      <c r="L353">
        <v>2</v>
      </c>
      <c r="M353">
        <v>4</v>
      </c>
      <c r="N353" t="str">
        <f t="shared" si="40"/>
        <v>Facebook</v>
      </c>
      <c r="O353">
        <f t="shared" si="41"/>
        <v>0</v>
      </c>
      <c r="P353" t="str">
        <f t="shared" si="42"/>
        <v>8.1</v>
      </c>
      <c r="Q353" t="str">
        <f t="shared" si="43"/>
        <v>OK</v>
      </c>
      <c r="R353" t="str">
        <f t="shared" si="46"/>
        <v>medium</v>
      </c>
      <c r="S353" t="str">
        <f t="shared" si="44"/>
        <v>Low</v>
      </c>
      <c r="T353" t="str">
        <f t="shared" si="45"/>
        <v>4</v>
      </c>
      <c r="U353">
        <v>4.8</v>
      </c>
      <c r="V353" t="b">
        <f t="shared" si="47"/>
        <v>1</v>
      </c>
    </row>
    <row r="354" spans="1:22" x14ac:dyDescent="0.25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4.5999999999999996</v>
      </c>
      <c r="G354" t="s">
        <v>16</v>
      </c>
      <c r="H354" t="s">
        <v>17</v>
      </c>
      <c r="I354">
        <v>7.3</v>
      </c>
      <c r="J354">
        <v>7</v>
      </c>
      <c r="K354" t="s">
        <v>24</v>
      </c>
      <c r="L354">
        <v>3</v>
      </c>
      <c r="M354">
        <v>6</v>
      </c>
      <c r="N354" t="str">
        <f t="shared" si="40"/>
        <v>Instagram</v>
      </c>
      <c r="O354">
        <f t="shared" si="41"/>
        <v>1</v>
      </c>
      <c r="P354" t="str">
        <f t="shared" si="42"/>
        <v>7.3</v>
      </c>
      <c r="Q354" t="str">
        <f t="shared" si="43"/>
        <v>OK</v>
      </c>
      <c r="R354" t="str">
        <f t="shared" si="46"/>
        <v>medium</v>
      </c>
      <c r="S354" t="str">
        <f t="shared" si="44"/>
        <v>Medium</v>
      </c>
      <c r="T354" t="str">
        <f t="shared" si="45"/>
        <v>6</v>
      </c>
      <c r="U354">
        <v>4.8</v>
      </c>
      <c r="V354" t="b">
        <f t="shared" si="47"/>
        <v>1</v>
      </c>
    </row>
    <row r="355" spans="1:22" x14ac:dyDescent="0.25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6.1</v>
      </c>
      <c r="G355" t="s">
        <v>143</v>
      </c>
      <c r="H355" t="s">
        <v>17</v>
      </c>
      <c r="I355">
        <v>6.2</v>
      </c>
      <c r="J355">
        <v>5</v>
      </c>
      <c r="K355" t="s">
        <v>18</v>
      </c>
      <c r="L355">
        <v>4</v>
      </c>
      <c r="M355">
        <v>8</v>
      </c>
      <c r="N355" t="str">
        <f t="shared" si="40"/>
        <v>Whatsapp</v>
      </c>
      <c r="O355">
        <f t="shared" si="41"/>
        <v>1</v>
      </c>
      <c r="P355" t="str">
        <f t="shared" si="42"/>
        <v>6.2</v>
      </c>
      <c r="Q355" t="str">
        <f t="shared" si="43"/>
        <v>OK</v>
      </c>
      <c r="R355" t="b">
        <f t="shared" si="46"/>
        <v>1</v>
      </c>
      <c r="S355" t="str">
        <f t="shared" si="44"/>
        <v>High</v>
      </c>
      <c r="T355" t="str">
        <f t="shared" si="45"/>
        <v>8</v>
      </c>
      <c r="U355">
        <v>4.8</v>
      </c>
      <c r="V355" t="b">
        <f t="shared" si="47"/>
        <v>1</v>
      </c>
    </row>
    <row r="356" spans="1:22" x14ac:dyDescent="0.25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3.6</v>
      </c>
      <c r="G356" t="s">
        <v>16</v>
      </c>
      <c r="H356" t="s">
        <v>23</v>
      </c>
      <c r="I356">
        <v>8.1999999999999993</v>
      </c>
      <c r="J356">
        <v>8</v>
      </c>
      <c r="K356" t="s">
        <v>24</v>
      </c>
      <c r="L356">
        <v>2</v>
      </c>
      <c r="M356">
        <v>4</v>
      </c>
      <c r="N356" t="str">
        <f t="shared" si="40"/>
        <v>Instagram</v>
      </c>
      <c r="O356">
        <f t="shared" si="41"/>
        <v>1</v>
      </c>
      <c r="P356" t="str">
        <f t="shared" si="42"/>
        <v>8.2</v>
      </c>
      <c r="Q356" t="str">
        <f t="shared" si="43"/>
        <v>OK</v>
      </c>
      <c r="R356" t="str">
        <f t="shared" si="46"/>
        <v>medium</v>
      </c>
      <c r="S356" t="str">
        <f t="shared" si="44"/>
        <v>Low</v>
      </c>
      <c r="T356" t="str">
        <f t="shared" si="45"/>
        <v>4</v>
      </c>
      <c r="U356">
        <v>4.8</v>
      </c>
      <c r="V356" t="b">
        <f t="shared" si="47"/>
        <v>1</v>
      </c>
    </row>
    <row r="357" spans="1:22" x14ac:dyDescent="0.25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5.2</v>
      </c>
      <c r="G357" t="s">
        <v>26</v>
      </c>
      <c r="H357" t="s">
        <v>17</v>
      </c>
      <c r="I357">
        <v>7</v>
      </c>
      <c r="J357">
        <v>6</v>
      </c>
      <c r="K357" t="s">
        <v>24</v>
      </c>
      <c r="L357">
        <v>3</v>
      </c>
      <c r="M357">
        <v>7</v>
      </c>
      <c r="N357" t="str">
        <f t="shared" si="40"/>
        <v>Tiktok</v>
      </c>
      <c r="O357">
        <f t="shared" si="41"/>
        <v>2</v>
      </c>
      <c r="P357" t="str">
        <f t="shared" si="42"/>
        <v>7</v>
      </c>
      <c r="Q357" t="str">
        <f t="shared" si="43"/>
        <v>OK</v>
      </c>
      <c r="R357" t="b">
        <f t="shared" si="46"/>
        <v>1</v>
      </c>
      <c r="S357" t="str">
        <f t="shared" si="44"/>
        <v>High</v>
      </c>
      <c r="T357" t="str">
        <f t="shared" si="45"/>
        <v>7</v>
      </c>
      <c r="U357">
        <v>4.8</v>
      </c>
      <c r="V357" t="b">
        <f t="shared" si="47"/>
        <v>1</v>
      </c>
    </row>
    <row r="358" spans="1:22" x14ac:dyDescent="0.25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7.1</v>
      </c>
      <c r="G358" t="s">
        <v>16</v>
      </c>
      <c r="H358" t="s">
        <v>17</v>
      </c>
      <c r="I358">
        <v>5.2</v>
      </c>
      <c r="J358">
        <v>5</v>
      </c>
      <c r="K358" t="s">
        <v>18</v>
      </c>
      <c r="L358">
        <v>4</v>
      </c>
      <c r="M358">
        <v>9</v>
      </c>
      <c r="N358" t="str">
        <f t="shared" si="40"/>
        <v>Instagram</v>
      </c>
      <c r="O358">
        <f t="shared" si="41"/>
        <v>1</v>
      </c>
      <c r="P358" t="str">
        <f t="shared" si="42"/>
        <v>5.2</v>
      </c>
      <c r="Q358" t="str">
        <f t="shared" si="43"/>
        <v>OK</v>
      </c>
      <c r="R358" t="b">
        <f t="shared" si="46"/>
        <v>1</v>
      </c>
      <c r="S358" t="str">
        <f t="shared" si="44"/>
        <v>High</v>
      </c>
      <c r="T358" t="str">
        <f t="shared" si="45"/>
        <v>9</v>
      </c>
      <c r="U358">
        <v>4.8</v>
      </c>
      <c r="V358" t="b">
        <f t="shared" si="47"/>
        <v>1</v>
      </c>
    </row>
    <row r="359" spans="1:22" x14ac:dyDescent="0.25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5.9</v>
      </c>
      <c r="G359" t="s">
        <v>143</v>
      </c>
      <c r="H359" t="s">
        <v>17</v>
      </c>
      <c r="I359">
        <v>6.3</v>
      </c>
      <c r="J359">
        <v>6</v>
      </c>
      <c r="K359" t="s">
        <v>24</v>
      </c>
      <c r="L359">
        <v>3</v>
      </c>
      <c r="M359">
        <v>7</v>
      </c>
      <c r="N359" t="str">
        <f t="shared" si="40"/>
        <v>Whatsapp</v>
      </c>
      <c r="O359">
        <f t="shared" si="41"/>
        <v>1</v>
      </c>
      <c r="P359" t="str">
        <f t="shared" si="42"/>
        <v>6.3</v>
      </c>
      <c r="Q359" t="str">
        <f t="shared" si="43"/>
        <v>OK</v>
      </c>
      <c r="R359" t="b">
        <f t="shared" si="46"/>
        <v>1</v>
      </c>
      <c r="S359" t="str">
        <f t="shared" si="44"/>
        <v>High</v>
      </c>
      <c r="T359" t="str">
        <f t="shared" si="45"/>
        <v>7</v>
      </c>
      <c r="U359">
        <v>4.7</v>
      </c>
      <c r="V359" t="b">
        <f t="shared" si="47"/>
        <v>1</v>
      </c>
    </row>
    <row r="360" spans="1:22" x14ac:dyDescent="0.25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4.2</v>
      </c>
      <c r="G360" t="s">
        <v>16</v>
      </c>
      <c r="H360" t="s">
        <v>23</v>
      </c>
      <c r="I360">
        <v>7.8</v>
      </c>
      <c r="J360">
        <v>7</v>
      </c>
      <c r="K360" t="s">
        <v>18</v>
      </c>
      <c r="L360">
        <v>2</v>
      </c>
      <c r="M360">
        <v>5</v>
      </c>
      <c r="N360" t="str">
        <f t="shared" si="40"/>
        <v>Instagram</v>
      </c>
      <c r="O360">
        <f t="shared" si="41"/>
        <v>1</v>
      </c>
      <c r="P360" t="str">
        <f t="shared" si="42"/>
        <v>7.8</v>
      </c>
      <c r="Q360" t="str">
        <f t="shared" si="43"/>
        <v>OK</v>
      </c>
      <c r="R360" t="str">
        <f t="shared" si="46"/>
        <v>medium</v>
      </c>
      <c r="S360" t="str">
        <f t="shared" si="44"/>
        <v>Medium</v>
      </c>
      <c r="T360" t="str">
        <f t="shared" si="45"/>
        <v>5</v>
      </c>
      <c r="U360">
        <v>4.7</v>
      </c>
      <c r="V360" t="b">
        <f t="shared" si="47"/>
        <v>1</v>
      </c>
    </row>
    <row r="361" spans="1:22" x14ac:dyDescent="0.25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5</v>
      </c>
      <c r="G361" t="s">
        <v>26</v>
      </c>
      <c r="H361" t="s">
        <v>17</v>
      </c>
      <c r="I361">
        <v>7.2</v>
      </c>
      <c r="J361">
        <v>6</v>
      </c>
      <c r="K361" t="s">
        <v>24</v>
      </c>
      <c r="L361">
        <v>3</v>
      </c>
      <c r="M361">
        <v>7</v>
      </c>
      <c r="N361" t="str">
        <f t="shared" si="40"/>
        <v>Tiktok</v>
      </c>
      <c r="O361">
        <f t="shared" si="41"/>
        <v>2</v>
      </c>
      <c r="P361" t="str">
        <f t="shared" si="42"/>
        <v>7.2</v>
      </c>
      <c r="Q361" t="str">
        <f t="shared" si="43"/>
        <v>OK</v>
      </c>
      <c r="R361" t="b">
        <f t="shared" si="46"/>
        <v>1</v>
      </c>
      <c r="S361" t="str">
        <f t="shared" si="44"/>
        <v>High</v>
      </c>
      <c r="T361" t="str">
        <f t="shared" si="45"/>
        <v>7</v>
      </c>
      <c r="U361">
        <v>4.7</v>
      </c>
      <c r="V361" t="b">
        <f t="shared" si="47"/>
        <v>1</v>
      </c>
    </row>
    <row r="362" spans="1:22" x14ac:dyDescent="0.25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4.8</v>
      </c>
      <c r="G362" t="s">
        <v>16</v>
      </c>
      <c r="H362" t="s">
        <v>17</v>
      </c>
      <c r="I362">
        <v>7.1</v>
      </c>
      <c r="J362">
        <v>6</v>
      </c>
      <c r="K362" t="s">
        <v>24</v>
      </c>
      <c r="L362">
        <v>3</v>
      </c>
      <c r="M362">
        <v>7</v>
      </c>
      <c r="N362" t="str">
        <f t="shared" si="40"/>
        <v>Instagram</v>
      </c>
      <c r="O362">
        <f t="shared" si="41"/>
        <v>1</v>
      </c>
      <c r="P362" t="str">
        <f t="shared" si="42"/>
        <v>7.1</v>
      </c>
      <c r="Q362" t="str">
        <f t="shared" si="43"/>
        <v>OK</v>
      </c>
      <c r="R362" t="b">
        <f t="shared" si="46"/>
        <v>1</v>
      </c>
      <c r="S362" t="str">
        <f t="shared" si="44"/>
        <v>High</v>
      </c>
      <c r="T362" t="str">
        <f t="shared" si="45"/>
        <v>7</v>
      </c>
      <c r="U362">
        <v>4.7</v>
      </c>
      <c r="V362" t="b">
        <f t="shared" si="47"/>
        <v>1</v>
      </c>
    </row>
    <row r="363" spans="1:22" x14ac:dyDescent="0.25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3.6</v>
      </c>
      <c r="G363" t="s">
        <v>32</v>
      </c>
      <c r="H363" t="s">
        <v>23</v>
      </c>
      <c r="I363">
        <v>8.1999999999999993</v>
      </c>
      <c r="J363">
        <v>8</v>
      </c>
      <c r="K363" t="s">
        <v>18</v>
      </c>
      <c r="L363">
        <v>2</v>
      </c>
      <c r="M363">
        <v>4</v>
      </c>
      <c r="N363" t="str">
        <f t="shared" si="40"/>
        <v>Facebook</v>
      </c>
      <c r="O363">
        <f t="shared" si="41"/>
        <v>0</v>
      </c>
      <c r="P363" t="str">
        <f t="shared" si="42"/>
        <v>8.2</v>
      </c>
      <c r="Q363" t="str">
        <f t="shared" si="43"/>
        <v>OK</v>
      </c>
      <c r="R363" t="str">
        <f t="shared" si="46"/>
        <v>medium</v>
      </c>
      <c r="S363" t="str">
        <f t="shared" si="44"/>
        <v>Low</v>
      </c>
      <c r="T363" t="str">
        <f t="shared" si="45"/>
        <v>4</v>
      </c>
      <c r="U363">
        <v>4.7</v>
      </c>
      <c r="V363" t="b">
        <f t="shared" si="47"/>
        <v>1</v>
      </c>
    </row>
    <row r="364" spans="1:22" x14ac:dyDescent="0.25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4.5</v>
      </c>
      <c r="G364" t="s">
        <v>26</v>
      </c>
      <c r="H364" t="s">
        <v>17</v>
      </c>
      <c r="I364">
        <v>7.4</v>
      </c>
      <c r="J364">
        <v>7</v>
      </c>
      <c r="K364" t="s">
        <v>24</v>
      </c>
      <c r="L364">
        <v>3</v>
      </c>
      <c r="M364">
        <v>6</v>
      </c>
      <c r="N364" t="str">
        <f t="shared" si="40"/>
        <v>Tiktok</v>
      </c>
      <c r="O364">
        <f t="shared" si="41"/>
        <v>2</v>
      </c>
      <c r="P364" t="str">
        <f t="shared" si="42"/>
        <v>7.4</v>
      </c>
      <c r="Q364" t="str">
        <f t="shared" si="43"/>
        <v>OK</v>
      </c>
      <c r="R364" t="str">
        <f t="shared" si="46"/>
        <v>medium</v>
      </c>
      <c r="S364" t="str">
        <f t="shared" si="44"/>
        <v>Medium</v>
      </c>
      <c r="T364" t="str">
        <f t="shared" si="45"/>
        <v>6</v>
      </c>
      <c r="U364">
        <v>4.7</v>
      </c>
      <c r="V364" t="b">
        <f t="shared" si="47"/>
        <v>1</v>
      </c>
    </row>
    <row r="365" spans="1:22" x14ac:dyDescent="0.25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6.2</v>
      </c>
      <c r="G365" t="s">
        <v>143</v>
      </c>
      <c r="H365" t="s">
        <v>17</v>
      </c>
      <c r="I365">
        <v>6.1</v>
      </c>
      <c r="J365">
        <v>5</v>
      </c>
      <c r="K365" t="s">
        <v>18</v>
      </c>
      <c r="L365">
        <v>4</v>
      </c>
      <c r="M365">
        <v>8</v>
      </c>
      <c r="N365" t="str">
        <f t="shared" si="40"/>
        <v>Whatsapp</v>
      </c>
      <c r="O365">
        <f t="shared" si="41"/>
        <v>1</v>
      </c>
      <c r="P365" t="str">
        <f t="shared" si="42"/>
        <v>6.1</v>
      </c>
      <c r="Q365" t="str">
        <f t="shared" si="43"/>
        <v>OK</v>
      </c>
      <c r="R365" t="b">
        <f t="shared" si="46"/>
        <v>1</v>
      </c>
      <c r="S365" t="str">
        <f t="shared" si="44"/>
        <v>High</v>
      </c>
      <c r="T365" t="str">
        <f t="shared" si="45"/>
        <v>8</v>
      </c>
      <c r="U365">
        <v>4.7</v>
      </c>
      <c r="V365" t="b">
        <f t="shared" si="47"/>
        <v>1</v>
      </c>
    </row>
    <row r="366" spans="1:22" x14ac:dyDescent="0.25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3.5</v>
      </c>
      <c r="G366" t="s">
        <v>16</v>
      </c>
      <c r="H366" t="s">
        <v>23</v>
      </c>
      <c r="I366">
        <v>8.3000000000000007</v>
      </c>
      <c r="J366">
        <v>8</v>
      </c>
      <c r="K366" t="s">
        <v>24</v>
      </c>
      <c r="L366">
        <v>2</v>
      </c>
      <c r="M366">
        <v>4</v>
      </c>
      <c r="N366" t="str">
        <f t="shared" si="40"/>
        <v>Instagram</v>
      </c>
      <c r="O366">
        <f t="shared" si="41"/>
        <v>1</v>
      </c>
      <c r="P366" t="str">
        <f t="shared" si="42"/>
        <v>8.3</v>
      </c>
      <c r="Q366" t="str">
        <f t="shared" si="43"/>
        <v>OK</v>
      </c>
      <c r="R366" t="str">
        <f t="shared" si="46"/>
        <v>medium</v>
      </c>
      <c r="S366" t="str">
        <f t="shared" si="44"/>
        <v>Low</v>
      </c>
      <c r="T366" t="str">
        <f t="shared" si="45"/>
        <v>4</v>
      </c>
      <c r="U366">
        <v>4.7</v>
      </c>
      <c r="V366" t="b">
        <f t="shared" si="47"/>
        <v>1</v>
      </c>
    </row>
    <row r="367" spans="1:22" x14ac:dyDescent="0.25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5.0999999999999996</v>
      </c>
      <c r="G367" t="s">
        <v>16</v>
      </c>
      <c r="H367" t="s">
        <v>17</v>
      </c>
      <c r="I367">
        <v>7.1</v>
      </c>
      <c r="J367">
        <v>6</v>
      </c>
      <c r="K367" t="s">
        <v>24</v>
      </c>
      <c r="L367">
        <v>3</v>
      </c>
      <c r="M367">
        <v>7</v>
      </c>
      <c r="N367" t="str">
        <f t="shared" si="40"/>
        <v>Instagram</v>
      </c>
      <c r="O367">
        <f t="shared" si="41"/>
        <v>1</v>
      </c>
      <c r="P367" t="str">
        <f t="shared" si="42"/>
        <v>7.1</v>
      </c>
      <c r="Q367" t="str">
        <f t="shared" si="43"/>
        <v>OK</v>
      </c>
      <c r="R367" t="b">
        <f t="shared" si="46"/>
        <v>1</v>
      </c>
      <c r="S367" t="str">
        <f t="shared" si="44"/>
        <v>High</v>
      </c>
      <c r="T367" t="str">
        <f t="shared" si="45"/>
        <v>7</v>
      </c>
      <c r="U367">
        <v>4.7</v>
      </c>
      <c r="V367" t="b">
        <f t="shared" si="47"/>
        <v>1</v>
      </c>
    </row>
    <row r="368" spans="1:22" x14ac:dyDescent="0.25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7.2</v>
      </c>
      <c r="G368" t="s">
        <v>26</v>
      </c>
      <c r="H368" t="s">
        <v>17</v>
      </c>
      <c r="I368">
        <v>5.0999999999999996</v>
      </c>
      <c r="J368">
        <v>5</v>
      </c>
      <c r="K368" t="s">
        <v>18</v>
      </c>
      <c r="L368">
        <v>4</v>
      </c>
      <c r="M368">
        <v>9</v>
      </c>
      <c r="N368" t="str">
        <f t="shared" si="40"/>
        <v>Tiktok</v>
      </c>
      <c r="O368">
        <f t="shared" si="41"/>
        <v>2</v>
      </c>
      <c r="P368" t="str">
        <f t="shared" si="42"/>
        <v>5.1</v>
      </c>
      <c r="Q368" t="str">
        <f t="shared" si="43"/>
        <v>OK</v>
      </c>
      <c r="R368" t="b">
        <f t="shared" si="46"/>
        <v>1</v>
      </c>
      <c r="S368" t="str">
        <f t="shared" si="44"/>
        <v>High</v>
      </c>
      <c r="T368" t="str">
        <f t="shared" si="45"/>
        <v>9</v>
      </c>
      <c r="U368">
        <v>4.7</v>
      </c>
      <c r="V368" t="b">
        <f t="shared" si="47"/>
        <v>1</v>
      </c>
    </row>
    <row r="369" spans="1:22" x14ac:dyDescent="0.25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</v>
      </c>
      <c r="G369" t="s">
        <v>143</v>
      </c>
      <c r="H369" t="s">
        <v>17</v>
      </c>
      <c r="I369">
        <v>6.2</v>
      </c>
      <c r="J369">
        <v>6</v>
      </c>
      <c r="K369" t="s">
        <v>24</v>
      </c>
      <c r="L369">
        <v>3</v>
      </c>
      <c r="M369">
        <v>7</v>
      </c>
      <c r="N369" t="str">
        <f t="shared" si="40"/>
        <v>Whatsapp</v>
      </c>
      <c r="O369">
        <f t="shared" si="41"/>
        <v>1</v>
      </c>
      <c r="P369" t="str">
        <f t="shared" si="42"/>
        <v>6.2</v>
      </c>
      <c r="Q369" t="str">
        <f t="shared" si="43"/>
        <v>OK</v>
      </c>
      <c r="R369" t="b">
        <f t="shared" si="46"/>
        <v>1</v>
      </c>
      <c r="S369" t="str">
        <f t="shared" si="44"/>
        <v>High</v>
      </c>
      <c r="T369" t="str">
        <f t="shared" si="45"/>
        <v>7</v>
      </c>
      <c r="U369">
        <v>4.7</v>
      </c>
      <c r="V369" t="b">
        <f t="shared" si="47"/>
        <v>1</v>
      </c>
    </row>
    <row r="370" spans="1:22" x14ac:dyDescent="0.25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4.0999999999999996</v>
      </c>
      <c r="G370" t="s">
        <v>16</v>
      </c>
      <c r="H370" t="s">
        <v>23</v>
      </c>
      <c r="I370">
        <v>7.9</v>
      </c>
      <c r="J370">
        <v>7</v>
      </c>
      <c r="K370" t="s">
        <v>18</v>
      </c>
      <c r="L370">
        <v>2</v>
      </c>
      <c r="M370">
        <v>5</v>
      </c>
      <c r="N370" t="str">
        <f t="shared" si="40"/>
        <v>Instagram</v>
      </c>
      <c r="O370">
        <f t="shared" si="41"/>
        <v>1</v>
      </c>
      <c r="P370" t="str">
        <f t="shared" si="42"/>
        <v>7.9</v>
      </c>
      <c r="Q370" t="str">
        <f t="shared" si="43"/>
        <v>OK</v>
      </c>
      <c r="R370" t="str">
        <f t="shared" si="46"/>
        <v>medium</v>
      </c>
      <c r="S370" t="str">
        <f t="shared" si="44"/>
        <v>Medium</v>
      </c>
      <c r="T370" t="str">
        <f t="shared" si="45"/>
        <v>5</v>
      </c>
      <c r="U370">
        <v>4.7</v>
      </c>
      <c r="V370" t="b">
        <f t="shared" si="47"/>
        <v>1</v>
      </c>
    </row>
    <row r="371" spans="1:22" x14ac:dyDescent="0.25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4.9000000000000004</v>
      </c>
      <c r="G371" t="s">
        <v>16</v>
      </c>
      <c r="H371" t="s">
        <v>17</v>
      </c>
      <c r="I371">
        <v>7.3</v>
      </c>
      <c r="J371">
        <v>6</v>
      </c>
      <c r="K371" t="s">
        <v>24</v>
      </c>
      <c r="L371">
        <v>3</v>
      </c>
      <c r="M371">
        <v>7</v>
      </c>
      <c r="N371" t="str">
        <f t="shared" si="40"/>
        <v>Instagram</v>
      </c>
      <c r="O371">
        <f t="shared" si="41"/>
        <v>1</v>
      </c>
      <c r="P371" t="str">
        <f t="shared" si="42"/>
        <v>7.3</v>
      </c>
      <c r="Q371" t="str">
        <f t="shared" si="43"/>
        <v>OK</v>
      </c>
      <c r="R371" t="b">
        <f t="shared" si="46"/>
        <v>1</v>
      </c>
      <c r="S371" t="str">
        <f t="shared" si="44"/>
        <v>High</v>
      </c>
      <c r="T371" t="str">
        <f t="shared" si="45"/>
        <v>7</v>
      </c>
      <c r="U371">
        <v>4.7</v>
      </c>
      <c r="V371" t="b">
        <f t="shared" si="47"/>
        <v>1</v>
      </c>
    </row>
    <row r="372" spans="1:22" x14ac:dyDescent="0.25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4.7</v>
      </c>
      <c r="G372" t="s">
        <v>26</v>
      </c>
      <c r="H372" t="s">
        <v>17</v>
      </c>
      <c r="I372">
        <v>7.2</v>
      </c>
      <c r="J372">
        <v>6</v>
      </c>
      <c r="K372" t="s">
        <v>24</v>
      </c>
      <c r="L372">
        <v>3</v>
      </c>
      <c r="M372">
        <v>7</v>
      </c>
      <c r="N372" t="str">
        <f t="shared" si="40"/>
        <v>Tiktok</v>
      </c>
      <c r="O372">
        <f t="shared" si="41"/>
        <v>2</v>
      </c>
      <c r="P372" t="str">
        <f t="shared" si="42"/>
        <v>7.2</v>
      </c>
      <c r="Q372" t="str">
        <f t="shared" si="43"/>
        <v>OK</v>
      </c>
      <c r="R372" t="b">
        <f t="shared" si="46"/>
        <v>1</v>
      </c>
      <c r="S372" t="str">
        <f t="shared" si="44"/>
        <v>High</v>
      </c>
      <c r="T372" t="str">
        <f t="shared" si="45"/>
        <v>7</v>
      </c>
      <c r="U372">
        <v>4.7</v>
      </c>
      <c r="V372" t="b">
        <f t="shared" si="47"/>
        <v>1</v>
      </c>
    </row>
    <row r="373" spans="1:22" x14ac:dyDescent="0.25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3.5</v>
      </c>
      <c r="G373" t="s">
        <v>32</v>
      </c>
      <c r="H373" t="s">
        <v>23</v>
      </c>
      <c r="I373">
        <v>8.3000000000000007</v>
      </c>
      <c r="J373">
        <v>8</v>
      </c>
      <c r="K373" t="s">
        <v>18</v>
      </c>
      <c r="L373">
        <v>2</v>
      </c>
      <c r="M373">
        <v>4</v>
      </c>
      <c r="N373" t="str">
        <f t="shared" si="40"/>
        <v>Facebook</v>
      </c>
      <c r="O373">
        <f t="shared" si="41"/>
        <v>0</v>
      </c>
      <c r="P373" t="str">
        <f t="shared" si="42"/>
        <v>8.3</v>
      </c>
      <c r="Q373" t="str">
        <f t="shared" si="43"/>
        <v>OK</v>
      </c>
      <c r="R373" t="str">
        <f t="shared" si="46"/>
        <v>medium</v>
      </c>
      <c r="S373" t="str">
        <f t="shared" si="44"/>
        <v>Low</v>
      </c>
      <c r="T373" t="str">
        <f t="shared" si="45"/>
        <v>4</v>
      </c>
      <c r="U373">
        <v>4.7</v>
      </c>
      <c r="V373" t="b">
        <f t="shared" si="47"/>
        <v>1</v>
      </c>
    </row>
    <row r="374" spans="1:22" x14ac:dyDescent="0.25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4.4000000000000004</v>
      </c>
      <c r="G374" t="s">
        <v>16</v>
      </c>
      <c r="H374" t="s">
        <v>17</v>
      </c>
      <c r="I374">
        <v>7.5</v>
      </c>
      <c r="J374">
        <v>7</v>
      </c>
      <c r="K374" t="s">
        <v>24</v>
      </c>
      <c r="L374">
        <v>3</v>
      </c>
      <c r="M374">
        <v>6</v>
      </c>
      <c r="N374" t="str">
        <f t="shared" si="40"/>
        <v>Instagram</v>
      </c>
      <c r="O374">
        <f t="shared" si="41"/>
        <v>1</v>
      </c>
      <c r="P374" t="str">
        <f t="shared" si="42"/>
        <v>7.5</v>
      </c>
      <c r="Q374" t="str">
        <f t="shared" si="43"/>
        <v>OK</v>
      </c>
      <c r="R374" t="str">
        <f t="shared" si="46"/>
        <v>medium</v>
      </c>
      <c r="S374" t="str">
        <f t="shared" si="44"/>
        <v>Medium</v>
      </c>
      <c r="T374" t="str">
        <f t="shared" si="45"/>
        <v>6</v>
      </c>
      <c r="U374">
        <v>4.7</v>
      </c>
      <c r="V374" t="b">
        <f t="shared" si="47"/>
        <v>1</v>
      </c>
    </row>
    <row r="375" spans="1:22" x14ac:dyDescent="0.25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6.3</v>
      </c>
      <c r="G375" t="s">
        <v>143</v>
      </c>
      <c r="H375" t="s">
        <v>17</v>
      </c>
      <c r="I375">
        <v>6</v>
      </c>
      <c r="J375">
        <v>5</v>
      </c>
      <c r="K375" t="s">
        <v>18</v>
      </c>
      <c r="L375">
        <v>4</v>
      </c>
      <c r="M375">
        <v>8</v>
      </c>
      <c r="N375" t="str">
        <f t="shared" si="40"/>
        <v>Whatsapp</v>
      </c>
      <c r="O375">
        <f t="shared" si="41"/>
        <v>1</v>
      </c>
      <c r="P375" t="str">
        <f t="shared" si="42"/>
        <v>6</v>
      </c>
      <c r="Q375" t="str">
        <f t="shared" si="43"/>
        <v>OK</v>
      </c>
      <c r="R375" t="b">
        <f t="shared" si="46"/>
        <v>1</v>
      </c>
      <c r="S375" t="str">
        <f t="shared" si="44"/>
        <v>High</v>
      </c>
      <c r="T375" t="str">
        <f t="shared" si="45"/>
        <v>8</v>
      </c>
      <c r="U375">
        <v>4.7</v>
      </c>
      <c r="V375" t="b">
        <f t="shared" si="47"/>
        <v>1</v>
      </c>
    </row>
    <row r="376" spans="1:22" x14ac:dyDescent="0.25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3.4</v>
      </c>
      <c r="G376" t="s">
        <v>16</v>
      </c>
      <c r="H376" t="s">
        <v>23</v>
      </c>
      <c r="I376">
        <v>8.4</v>
      </c>
      <c r="J376">
        <v>8</v>
      </c>
      <c r="K376" t="s">
        <v>24</v>
      </c>
      <c r="L376">
        <v>2</v>
      </c>
      <c r="M376">
        <v>4</v>
      </c>
      <c r="N376" t="str">
        <f t="shared" si="40"/>
        <v>Instagram</v>
      </c>
      <c r="O376">
        <f t="shared" si="41"/>
        <v>1</v>
      </c>
      <c r="P376" t="str">
        <f t="shared" si="42"/>
        <v>8.4</v>
      </c>
      <c r="Q376" t="str">
        <f t="shared" si="43"/>
        <v>OK</v>
      </c>
      <c r="R376" t="str">
        <f t="shared" si="46"/>
        <v>medium</v>
      </c>
      <c r="S376" t="str">
        <f t="shared" si="44"/>
        <v>Low</v>
      </c>
      <c r="T376" t="str">
        <f t="shared" si="45"/>
        <v>4</v>
      </c>
      <c r="U376">
        <v>4.7</v>
      </c>
      <c r="V376" t="b">
        <f t="shared" si="47"/>
        <v>1</v>
      </c>
    </row>
    <row r="377" spans="1:22" x14ac:dyDescent="0.25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5</v>
      </c>
      <c r="G377" t="s">
        <v>26</v>
      </c>
      <c r="H377" t="s">
        <v>17</v>
      </c>
      <c r="I377">
        <v>7.2</v>
      </c>
      <c r="J377">
        <v>6</v>
      </c>
      <c r="K377" t="s">
        <v>24</v>
      </c>
      <c r="L377">
        <v>3</v>
      </c>
      <c r="M377">
        <v>7</v>
      </c>
      <c r="N377" t="str">
        <f t="shared" si="40"/>
        <v>Tiktok</v>
      </c>
      <c r="O377">
        <f t="shared" si="41"/>
        <v>2</v>
      </c>
      <c r="P377" t="str">
        <f t="shared" si="42"/>
        <v>7.2</v>
      </c>
      <c r="Q377" t="str">
        <f t="shared" si="43"/>
        <v>OK</v>
      </c>
      <c r="R377" t="b">
        <f t="shared" si="46"/>
        <v>1</v>
      </c>
      <c r="S377" t="str">
        <f t="shared" si="44"/>
        <v>High</v>
      </c>
      <c r="T377" t="str">
        <f t="shared" si="45"/>
        <v>7</v>
      </c>
      <c r="U377">
        <v>4.7</v>
      </c>
      <c r="V377" t="b">
        <f t="shared" si="47"/>
        <v>1</v>
      </c>
    </row>
    <row r="378" spans="1:22" x14ac:dyDescent="0.25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7.3</v>
      </c>
      <c r="G378" t="s">
        <v>16</v>
      </c>
      <c r="H378" t="s">
        <v>17</v>
      </c>
      <c r="I378">
        <v>5</v>
      </c>
      <c r="J378">
        <v>5</v>
      </c>
      <c r="K378" t="s">
        <v>18</v>
      </c>
      <c r="L378">
        <v>4</v>
      </c>
      <c r="M378">
        <v>9</v>
      </c>
      <c r="N378" t="str">
        <f t="shared" si="40"/>
        <v>Instagram</v>
      </c>
      <c r="O378">
        <f t="shared" si="41"/>
        <v>1</v>
      </c>
      <c r="P378" t="str">
        <f t="shared" si="42"/>
        <v>5</v>
      </c>
      <c r="Q378" t="str">
        <f t="shared" si="43"/>
        <v>OK</v>
      </c>
      <c r="R378" t="b">
        <f t="shared" si="46"/>
        <v>1</v>
      </c>
      <c r="S378" t="str">
        <f t="shared" si="44"/>
        <v>High</v>
      </c>
      <c r="T378" t="str">
        <f t="shared" si="45"/>
        <v>9</v>
      </c>
      <c r="U378">
        <v>4.7</v>
      </c>
      <c r="V378" t="b">
        <f t="shared" si="47"/>
        <v>1</v>
      </c>
    </row>
    <row r="379" spans="1:22" x14ac:dyDescent="0.25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 t="s">
        <v>143</v>
      </c>
      <c r="H379" t="s">
        <v>17</v>
      </c>
      <c r="I379">
        <v>6.1</v>
      </c>
      <c r="J379">
        <v>6</v>
      </c>
      <c r="K379" t="s">
        <v>24</v>
      </c>
      <c r="L379">
        <v>3</v>
      </c>
      <c r="M379">
        <v>7</v>
      </c>
      <c r="N379" t="str">
        <f t="shared" si="40"/>
        <v>Whatsapp</v>
      </c>
      <c r="O379">
        <f t="shared" si="41"/>
        <v>1</v>
      </c>
      <c r="P379" t="str">
        <f t="shared" si="42"/>
        <v>6.1</v>
      </c>
      <c r="Q379" t="str">
        <f t="shared" si="43"/>
        <v>OK</v>
      </c>
      <c r="R379" t="b">
        <f t="shared" si="46"/>
        <v>1</v>
      </c>
      <c r="S379" t="str">
        <f t="shared" si="44"/>
        <v>High</v>
      </c>
      <c r="T379" t="str">
        <f t="shared" si="45"/>
        <v>7</v>
      </c>
      <c r="U379">
        <v>4.7</v>
      </c>
      <c r="V379" t="b">
        <f t="shared" si="47"/>
        <v>1</v>
      </c>
    </row>
    <row r="380" spans="1:22" x14ac:dyDescent="0.25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4</v>
      </c>
      <c r="G380" t="s">
        <v>16</v>
      </c>
      <c r="H380" t="s">
        <v>23</v>
      </c>
      <c r="I380">
        <v>8</v>
      </c>
      <c r="J380">
        <v>7</v>
      </c>
      <c r="K380" t="s">
        <v>18</v>
      </c>
      <c r="L380">
        <v>2</v>
      </c>
      <c r="M380">
        <v>5</v>
      </c>
      <c r="N380" t="str">
        <f t="shared" si="40"/>
        <v>Instagram</v>
      </c>
      <c r="O380">
        <f t="shared" si="41"/>
        <v>1</v>
      </c>
      <c r="P380" t="str">
        <f t="shared" si="42"/>
        <v>8</v>
      </c>
      <c r="Q380" t="str">
        <f t="shared" si="43"/>
        <v>OK</v>
      </c>
      <c r="R380" t="str">
        <f t="shared" si="46"/>
        <v>medium</v>
      </c>
      <c r="S380" t="str">
        <f t="shared" si="44"/>
        <v>Medium</v>
      </c>
      <c r="T380" t="str">
        <f t="shared" si="45"/>
        <v>5</v>
      </c>
      <c r="U380">
        <v>4.7</v>
      </c>
      <c r="V380" t="b">
        <f t="shared" si="47"/>
        <v>1</v>
      </c>
    </row>
    <row r="381" spans="1:22" x14ac:dyDescent="0.25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4.8</v>
      </c>
      <c r="G381" t="s">
        <v>26</v>
      </c>
      <c r="H381" t="s">
        <v>17</v>
      </c>
      <c r="I381">
        <v>7.4</v>
      </c>
      <c r="J381">
        <v>6</v>
      </c>
      <c r="K381" t="s">
        <v>24</v>
      </c>
      <c r="L381">
        <v>3</v>
      </c>
      <c r="M381">
        <v>7</v>
      </c>
      <c r="N381" t="str">
        <f t="shared" si="40"/>
        <v>Tiktok</v>
      </c>
      <c r="O381">
        <f t="shared" si="41"/>
        <v>2</v>
      </c>
      <c r="P381" t="str">
        <f t="shared" si="42"/>
        <v>7.4</v>
      </c>
      <c r="Q381" t="str">
        <f t="shared" si="43"/>
        <v>OK</v>
      </c>
      <c r="R381" t="b">
        <f t="shared" si="46"/>
        <v>1</v>
      </c>
      <c r="S381" t="str">
        <f t="shared" si="44"/>
        <v>High</v>
      </c>
      <c r="T381" t="str">
        <f t="shared" si="45"/>
        <v>7</v>
      </c>
      <c r="U381">
        <v>4.7</v>
      </c>
      <c r="V381" t="b">
        <f t="shared" si="47"/>
        <v>1</v>
      </c>
    </row>
    <row r="382" spans="1:22" x14ac:dyDescent="0.25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4.5999999999999996</v>
      </c>
      <c r="G382" t="s">
        <v>16</v>
      </c>
      <c r="H382" t="s">
        <v>17</v>
      </c>
      <c r="I382">
        <v>7.3</v>
      </c>
      <c r="J382">
        <v>6</v>
      </c>
      <c r="K382" t="s">
        <v>24</v>
      </c>
      <c r="L382">
        <v>3</v>
      </c>
      <c r="M382">
        <v>7</v>
      </c>
      <c r="N382" t="str">
        <f t="shared" si="40"/>
        <v>Instagram</v>
      </c>
      <c r="O382">
        <f t="shared" si="41"/>
        <v>1</v>
      </c>
      <c r="P382" t="str">
        <f t="shared" si="42"/>
        <v>7.3</v>
      </c>
      <c r="Q382" t="str">
        <f t="shared" si="43"/>
        <v>OK</v>
      </c>
      <c r="R382" t="b">
        <f t="shared" si="46"/>
        <v>1</v>
      </c>
      <c r="S382" t="str">
        <f t="shared" si="44"/>
        <v>High</v>
      </c>
      <c r="T382" t="str">
        <f t="shared" si="45"/>
        <v>7</v>
      </c>
      <c r="U382">
        <v>4.7</v>
      </c>
      <c r="V382" t="b">
        <f t="shared" si="47"/>
        <v>1</v>
      </c>
    </row>
    <row r="383" spans="1:22" x14ac:dyDescent="0.25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3.4</v>
      </c>
      <c r="G383" t="s">
        <v>32</v>
      </c>
      <c r="H383" t="s">
        <v>23</v>
      </c>
      <c r="I383">
        <v>8.4</v>
      </c>
      <c r="J383">
        <v>8</v>
      </c>
      <c r="K383" t="s">
        <v>18</v>
      </c>
      <c r="L383">
        <v>2</v>
      </c>
      <c r="M383">
        <v>4</v>
      </c>
      <c r="N383" t="str">
        <f t="shared" si="40"/>
        <v>Facebook</v>
      </c>
      <c r="O383">
        <f t="shared" si="41"/>
        <v>0</v>
      </c>
      <c r="P383" t="str">
        <f t="shared" si="42"/>
        <v>8.4</v>
      </c>
      <c r="Q383" t="str">
        <f t="shared" si="43"/>
        <v>OK</v>
      </c>
      <c r="R383" t="str">
        <f t="shared" si="46"/>
        <v>medium</v>
      </c>
      <c r="S383" t="str">
        <f t="shared" si="44"/>
        <v>Low</v>
      </c>
      <c r="T383" t="str">
        <f t="shared" si="45"/>
        <v>4</v>
      </c>
      <c r="U383">
        <v>4.7</v>
      </c>
      <c r="V383" t="b">
        <f t="shared" si="47"/>
        <v>1</v>
      </c>
    </row>
    <row r="384" spans="1:22" x14ac:dyDescent="0.25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4.3</v>
      </c>
      <c r="G384" t="s">
        <v>26</v>
      </c>
      <c r="H384" t="s">
        <v>17</v>
      </c>
      <c r="I384">
        <v>7.6</v>
      </c>
      <c r="J384">
        <v>7</v>
      </c>
      <c r="K384" t="s">
        <v>24</v>
      </c>
      <c r="L384">
        <v>3</v>
      </c>
      <c r="M384">
        <v>6</v>
      </c>
      <c r="N384" t="str">
        <f t="shared" si="40"/>
        <v>Tiktok</v>
      </c>
      <c r="O384">
        <f t="shared" si="41"/>
        <v>2</v>
      </c>
      <c r="P384" t="str">
        <f t="shared" si="42"/>
        <v>7.6</v>
      </c>
      <c r="Q384" t="str">
        <f t="shared" si="43"/>
        <v>OK</v>
      </c>
      <c r="R384" t="str">
        <f t="shared" si="46"/>
        <v>medium</v>
      </c>
      <c r="S384" t="str">
        <f t="shared" si="44"/>
        <v>Medium</v>
      </c>
      <c r="T384" t="str">
        <f t="shared" si="45"/>
        <v>6</v>
      </c>
      <c r="U384">
        <v>4.7</v>
      </c>
      <c r="V384" t="b">
        <f t="shared" si="47"/>
        <v>1</v>
      </c>
    </row>
    <row r="385" spans="1:22" x14ac:dyDescent="0.25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6.4</v>
      </c>
      <c r="G385" t="s">
        <v>143</v>
      </c>
      <c r="H385" t="s">
        <v>17</v>
      </c>
      <c r="I385">
        <v>5.9</v>
      </c>
      <c r="J385">
        <v>5</v>
      </c>
      <c r="K385" t="s">
        <v>18</v>
      </c>
      <c r="L385">
        <v>4</v>
      </c>
      <c r="M385">
        <v>8</v>
      </c>
      <c r="N385" t="str">
        <f t="shared" si="40"/>
        <v>Whatsapp</v>
      </c>
      <c r="O385">
        <f t="shared" si="41"/>
        <v>1</v>
      </c>
      <c r="P385" t="str">
        <f t="shared" si="42"/>
        <v>5.9</v>
      </c>
      <c r="Q385" t="str">
        <f t="shared" si="43"/>
        <v>OK</v>
      </c>
      <c r="R385" t="b">
        <f t="shared" si="46"/>
        <v>1</v>
      </c>
      <c r="S385" t="str">
        <f t="shared" si="44"/>
        <v>High</v>
      </c>
      <c r="T385" t="str">
        <f t="shared" si="45"/>
        <v>8</v>
      </c>
      <c r="U385">
        <v>4.7</v>
      </c>
      <c r="V385" t="b">
        <f t="shared" si="47"/>
        <v>1</v>
      </c>
    </row>
    <row r="386" spans="1:22" x14ac:dyDescent="0.25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3.3</v>
      </c>
      <c r="G386" t="s">
        <v>16</v>
      </c>
      <c r="H386" t="s">
        <v>23</v>
      </c>
      <c r="I386">
        <v>8.5</v>
      </c>
      <c r="J386">
        <v>8</v>
      </c>
      <c r="K386" t="s">
        <v>24</v>
      </c>
      <c r="L386">
        <v>2</v>
      </c>
      <c r="M386">
        <v>4</v>
      </c>
      <c r="N386" t="str">
        <f t="shared" ref="N386:N449" si="48">PROPER(G386)</f>
        <v>Instagram</v>
      </c>
      <c r="O386">
        <f t="shared" ref="O386:O449" si="49">LEN(G386)-LEN(SUBSTITUTE(UPPER(G386),"T",""))</f>
        <v>1</v>
      </c>
      <c r="P386" t="str">
        <f t="shared" ref="P386:P449" si="50">PROPER(I386)</f>
        <v>8.5</v>
      </c>
      <c r="Q386" t="str">
        <f t="shared" ref="Q386:Q449" si="51">(IF(I386&gt;=5,"OK",IF(I386&lt;5,"LESS SLEEP")))</f>
        <v>OK</v>
      </c>
      <c r="R386" t="str">
        <f t="shared" si="46"/>
        <v>medium</v>
      </c>
      <c r="S386" t="str">
        <f t="shared" ref="S386:S449" si="52">IF(M386&gt;=7,"High",IF(AND(M386&gt;4,M386&lt;7),"Medium","Low"))</f>
        <v>Low</v>
      </c>
      <c r="T386" t="str">
        <f t="shared" ref="T386:T449" si="53">PROPER(M386)</f>
        <v>4</v>
      </c>
      <c r="U386">
        <v>4.7</v>
      </c>
      <c r="V386" t="b">
        <f t="shared" si="47"/>
        <v>1</v>
      </c>
    </row>
    <row r="387" spans="1:22" x14ac:dyDescent="0.25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4.9000000000000004</v>
      </c>
      <c r="G387" t="s">
        <v>16</v>
      </c>
      <c r="H387" t="s">
        <v>17</v>
      </c>
      <c r="I387">
        <v>7.3</v>
      </c>
      <c r="J387">
        <v>6</v>
      </c>
      <c r="K387" t="s">
        <v>24</v>
      </c>
      <c r="L387">
        <v>3</v>
      </c>
      <c r="M387">
        <v>7</v>
      </c>
      <c r="N387" t="str">
        <f t="shared" si="48"/>
        <v>Instagram</v>
      </c>
      <c r="O387">
        <f t="shared" si="49"/>
        <v>1</v>
      </c>
      <c r="P387" t="str">
        <f t="shared" si="50"/>
        <v>7.3</v>
      </c>
      <c r="Q387" t="str">
        <f t="shared" si="51"/>
        <v>OK</v>
      </c>
      <c r="R387" t="b">
        <f t="shared" si="46"/>
        <v>1</v>
      </c>
      <c r="S387" t="str">
        <f t="shared" si="52"/>
        <v>High</v>
      </c>
      <c r="T387" t="str">
        <f t="shared" si="53"/>
        <v>7</v>
      </c>
      <c r="U387">
        <v>4.7</v>
      </c>
      <c r="V387" t="b">
        <f t="shared" si="47"/>
        <v>1</v>
      </c>
    </row>
    <row r="388" spans="1:22" x14ac:dyDescent="0.25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7.4</v>
      </c>
      <c r="G388" t="s">
        <v>26</v>
      </c>
      <c r="H388" t="s">
        <v>17</v>
      </c>
      <c r="I388">
        <v>4.9000000000000004</v>
      </c>
      <c r="J388">
        <v>5</v>
      </c>
      <c r="K388" t="s">
        <v>18</v>
      </c>
      <c r="L388">
        <v>4</v>
      </c>
      <c r="M388">
        <v>9</v>
      </c>
      <c r="N388" t="str">
        <f t="shared" si="48"/>
        <v>Tiktok</v>
      </c>
      <c r="O388">
        <f t="shared" si="49"/>
        <v>2</v>
      </c>
      <c r="P388" t="str">
        <f t="shared" si="50"/>
        <v>4.9</v>
      </c>
      <c r="Q388" t="str">
        <f t="shared" si="51"/>
        <v>LESS SLEEP</v>
      </c>
      <c r="R388" t="b">
        <f t="shared" ref="R388:R451" si="54">IF(M388&gt;=7,"High"&amp;M388&gt;=4,"medium")</f>
        <v>1</v>
      </c>
      <c r="S388" t="str">
        <f t="shared" si="52"/>
        <v>High</v>
      </c>
      <c r="T388" t="str">
        <f t="shared" si="53"/>
        <v>9</v>
      </c>
      <c r="U388">
        <v>4.7</v>
      </c>
      <c r="V388" t="b">
        <f t="shared" ref="V388:V451" si="55">IF(Q388&gt;=7,"High"&amp;Q388&gt;=4,"medium")</f>
        <v>1</v>
      </c>
    </row>
    <row r="389" spans="1:22" x14ac:dyDescent="0.25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6.2</v>
      </c>
      <c r="G389" t="s">
        <v>143</v>
      </c>
      <c r="H389" t="s">
        <v>17</v>
      </c>
      <c r="I389">
        <v>6</v>
      </c>
      <c r="J389">
        <v>6</v>
      </c>
      <c r="K389" t="s">
        <v>24</v>
      </c>
      <c r="L389">
        <v>3</v>
      </c>
      <c r="M389">
        <v>7</v>
      </c>
      <c r="N389" t="str">
        <f t="shared" si="48"/>
        <v>Whatsapp</v>
      </c>
      <c r="O389">
        <f t="shared" si="49"/>
        <v>1</v>
      </c>
      <c r="P389" t="str">
        <f t="shared" si="50"/>
        <v>6</v>
      </c>
      <c r="Q389" t="str">
        <f t="shared" si="51"/>
        <v>OK</v>
      </c>
      <c r="R389" t="b">
        <f t="shared" si="54"/>
        <v>1</v>
      </c>
      <c r="S389" t="str">
        <f t="shared" si="52"/>
        <v>High</v>
      </c>
      <c r="T389" t="str">
        <f t="shared" si="53"/>
        <v>7</v>
      </c>
      <c r="U389">
        <v>4.7</v>
      </c>
      <c r="V389" t="b">
        <f t="shared" si="55"/>
        <v>1</v>
      </c>
    </row>
    <row r="390" spans="1:22" x14ac:dyDescent="0.25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3.9</v>
      </c>
      <c r="G390" t="s">
        <v>16</v>
      </c>
      <c r="H390" t="s">
        <v>23</v>
      </c>
      <c r="I390">
        <v>8.1</v>
      </c>
      <c r="J390">
        <v>7</v>
      </c>
      <c r="K390" t="s">
        <v>18</v>
      </c>
      <c r="L390">
        <v>2</v>
      </c>
      <c r="M390">
        <v>5</v>
      </c>
      <c r="N390" t="str">
        <f t="shared" si="48"/>
        <v>Instagram</v>
      </c>
      <c r="O390">
        <f t="shared" si="49"/>
        <v>1</v>
      </c>
      <c r="P390" t="str">
        <f t="shared" si="50"/>
        <v>8.1</v>
      </c>
      <c r="Q390" t="str">
        <f t="shared" si="51"/>
        <v>OK</v>
      </c>
      <c r="R390" t="str">
        <f t="shared" si="54"/>
        <v>medium</v>
      </c>
      <c r="S390" t="str">
        <f t="shared" si="52"/>
        <v>Medium</v>
      </c>
      <c r="T390" t="str">
        <f t="shared" si="53"/>
        <v>5</v>
      </c>
      <c r="U390">
        <v>4.5999999999999996</v>
      </c>
      <c r="V390" t="b">
        <f t="shared" si="55"/>
        <v>1</v>
      </c>
    </row>
    <row r="391" spans="1:22" x14ac:dyDescent="0.25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4.7</v>
      </c>
      <c r="G391" t="s">
        <v>16</v>
      </c>
      <c r="H391" t="s">
        <v>17</v>
      </c>
      <c r="I391">
        <v>7.5</v>
      </c>
      <c r="J391">
        <v>6</v>
      </c>
      <c r="K391" t="s">
        <v>24</v>
      </c>
      <c r="L391">
        <v>3</v>
      </c>
      <c r="M391">
        <v>7</v>
      </c>
      <c r="N391" t="str">
        <f t="shared" si="48"/>
        <v>Instagram</v>
      </c>
      <c r="O391">
        <f t="shared" si="49"/>
        <v>1</v>
      </c>
      <c r="P391" t="str">
        <f t="shared" si="50"/>
        <v>7.5</v>
      </c>
      <c r="Q391" t="str">
        <f t="shared" si="51"/>
        <v>OK</v>
      </c>
      <c r="R391" t="b">
        <f t="shared" si="54"/>
        <v>1</v>
      </c>
      <c r="S391" t="str">
        <f t="shared" si="52"/>
        <v>High</v>
      </c>
      <c r="T391" t="str">
        <f t="shared" si="53"/>
        <v>7</v>
      </c>
      <c r="U391">
        <v>4.5999999999999996</v>
      </c>
      <c r="V391" t="b">
        <f t="shared" si="55"/>
        <v>1</v>
      </c>
    </row>
    <row r="392" spans="1:22" x14ac:dyDescent="0.25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4.5</v>
      </c>
      <c r="G392" t="s">
        <v>26</v>
      </c>
      <c r="H392" t="s">
        <v>17</v>
      </c>
      <c r="I392">
        <v>7.4</v>
      </c>
      <c r="J392">
        <v>6</v>
      </c>
      <c r="K392" t="s">
        <v>24</v>
      </c>
      <c r="L392">
        <v>3</v>
      </c>
      <c r="M392">
        <v>7</v>
      </c>
      <c r="N392" t="str">
        <f t="shared" si="48"/>
        <v>Tiktok</v>
      </c>
      <c r="O392">
        <f t="shared" si="49"/>
        <v>2</v>
      </c>
      <c r="P392" t="str">
        <f t="shared" si="50"/>
        <v>7.4</v>
      </c>
      <c r="Q392" t="str">
        <f t="shared" si="51"/>
        <v>OK</v>
      </c>
      <c r="R392" t="b">
        <f t="shared" si="54"/>
        <v>1</v>
      </c>
      <c r="S392" t="str">
        <f t="shared" si="52"/>
        <v>High</v>
      </c>
      <c r="T392" t="str">
        <f t="shared" si="53"/>
        <v>7</v>
      </c>
      <c r="U392">
        <v>4.5999999999999996</v>
      </c>
      <c r="V392" t="b">
        <f t="shared" si="55"/>
        <v>1</v>
      </c>
    </row>
    <row r="393" spans="1:22" x14ac:dyDescent="0.25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3.3</v>
      </c>
      <c r="G393" t="s">
        <v>32</v>
      </c>
      <c r="H393" t="s">
        <v>23</v>
      </c>
      <c r="I393">
        <v>8.5</v>
      </c>
      <c r="J393">
        <v>8</v>
      </c>
      <c r="K393" t="s">
        <v>18</v>
      </c>
      <c r="L393">
        <v>2</v>
      </c>
      <c r="M393">
        <v>4</v>
      </c>
      <c r="N393" t="str">
        <f t="shared" si="48"/>
        <v>Facebook</v>
      </c>
      <c r="O393">
        <f t="shared" si="49"/>
        <v>0</v>
      </c>
      <c r="P393" t="str">
        <f t="shared" si="50"/>
        <v>8.5</v>
      </c>
      <c r="Q393" t="str">
        <f t="shared" si="51"/>
        <v>OK</v>
      </c>
      <c r="R393" t="str">
        <f t="shared" si="54"/>
        <v>medium</v>
      </c>
      <c r="S393" t="str">
        <f t="shared" si="52"/>
        <v>Low</v>
      </c>
      <c r="T393" t="str">
        <f t="shared" si="53"/>
        <v>4</v>
      </c>
      <c r="U393">
        <v>4.5999999999999996</v>
      </c>
      <c r="V393" t="b">
        <f t="shared" si="55"/>
        <v>1</v>
      </c>
    </row>
    <row r="394" spans="1:22" x14ac:dyDescent="0.25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4.2</v>
      </c>
      <c r="G394" t="s">
        <v>16</v>
      </c>
      <c r="H394" t="s">
        <v>17</v>
      </c>
      <c r="I394">
        <v>7.7</v>
      </c>
      <c r="J394">
        <v>7</v>
      </c>
      <c r="K394" t="s">
        <v>24</v>
      </c>
      <c r="L394">
        <v>3</v>
      </c>
      <c r="M394">
        <v>6</v>
      </c>
      <c r="N394" t="str">
        <f t="shared" si="48"/>
        <v>Instagram</v>
      </c>
      <c r="O394">
        <f t="shared" si="49"/>
        <v>1</v>
      </c>
      <c r="P394" t="str">
        <f t="shared" si="50"/>
        <v>7.7</v>
      </c>
      <c r="Q394" t="str">
        <f t="shared" si="51"/>
        <v>OK</v>
      </c>
      <c r="R394" t="str">
        <f t="shared" si="54"/>
        <v>medium</v>
      </c>
      <c r="S394" t="str">
        <f t="shared" si="52"/>
        <v>Medium</v>
      </c>
      <c r="T394" t="str">
        <f t="shared" si="53"/>
        <v>6</v>
      </c>
      <c r="U394">
        <v>4.5999999999999996</v>
      </c>
      <c r="V394" t="b">
        <f t="shared" si="55"/>
        <v>1</v>
      </c>
    </row>
    <row r="395" spans="1:22" x14ac:dyDescent="0.25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6.5</v>
      </c>
      <c r="G395" t="s">
        <v>143</v>
      </c>
      <c r="H395" t="s">
        <v>17</v>
      </c>
      <c r="I395">
        <v>5.8</v>
      </c>
      <c r="J395">
        <v>5</v>
      </c>
      <c r="K395" t="s">
        <v>18</v>
      </c>
      <c r="L395">
        <v>4</v>
      </c>
      <c r="M395">
        <v>8</v>
      </c>
      <c r="N395" t="str">
        <f t="shared" si="48"/>
        <v>Whatsapp</v>
      </c>
      <c r="O395">
        <f t="shared" si="49"/>
        <v>1</v>
      </c>
      <c r="P395" t="str">
        <f t="shared" si="50"/>
        <v>5.8</v>
      </c>
      <c r="Q395" t="str">
        <f t="shared" si="51"/>
        <v>OK</v>
      </c>
      <c r="R395" t="b">
        <f t="shared" si="54"/>
        <v>1</v>
      </c>
      <c r="S395" t="str">
        <f t="shared" si="52"/>
        <v>High</v>
      </c>
      <c r="T395" t="str">
        <f t="shared" si="53"/>
        <v>8</v>
      </c>
      <c r="U395">
        <v>4.5999999999999996</v>
      </c>
      <c r="V395" t="b">
        <f t="shared" si="55"/>
        <v>1</v>
      </c>
    </row>
    <row r="396" spans="1:22" x14ac:dyDescent="0.25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3.2</v>
      </c>
      <c r="G396" t="s">
        <v>16</v>
      </c>
      <c r="H396" t="s">
        <v>23</v>
      </c>
      <c r="I396">
        <v>8.6</v>
      </c>
      <c r="J396">
        <v>8</v>
      </c>
      <c r="K396" t="s">
        <v>24</v>
      </c>
      <c r="L396">
        <v>2</v>
      </c>
      <c r="M396">
        <v>4</v>
      </c>
      <c r="N396" t="str">
        <f t="shared" si="48"/>
        <v>Instagram</v>
      </c>
      <c r="O396">
        <f t="shared" si="49"/>
        <v>1</v>
      </c>
      <c r="P396" t="str">
        <f t="shared" si="50"/>
        <v>8.6</v>
      </c>
      <c r="Q396" t="str">
        <f t="shared" si="51"/>
        <v>OK</v>
      </c>
      <c r="R396" t="str">
        <f t="shared" si="54"/>
        <v>medium</v>
      </c>
      <c r="S396" t="str">
        <f t="shared" si="52"/>
        <v>Low</v>
      </c>
      <c r="T396" t="str">
        <f t="shared" si="53"/>
        <v>4</v>
      </c>
      <c r="U396">
        <v>4.5999999999999996</v>
      </c>
      <c r="V396" t="b">
        <f t="shared" si="55"/>
        <v>1</v>
      </c>
    </row>
    <row r="397" spans="1:22" x14ac:dyDescent="0.25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4.8</v>
      </c>
      <c r="G397" t="s">
        <v>26</v>
      </c>
      <c r="H397" t="s">
        <v>17</v>
      </c>
      <c r="I397">
        <v>7.4</v>
      </c>
      <c r="J397">
        <v>6</v>
      </c>
      <c r="K397" t="s">
        <v>24</v>
      </c>
      <c r="L397">
        <v>3</v>
      </c>
      <c r="M397">
        <v>7</v>
      </c>
      <c r="N397" t="str">
        <f t="shared" si="48"/>
        <v>Tiktok</v>
      </c>
      <c r="O397">
        <f t="shared" si="49"/>
        <v>2</v>
      </c>
      <c r="P397" t="str">
        <f t="shared" si="50"/>
        <v>7.4</v>
      </c>
      <c r="Q397" t="str">
        <f t="shared" si="51"/>
        <v>OK</v>
      </c>
      <c r="R397" t="b">
        <f t="shared" si="54"/>
        <v>1</v>
      </c>
      <c r="S397" t="str">
        <f t="shared" si="52"/>
        <v>High</v>
      </c>
      <c r="T397" t="str">
        <f t="shared" si="53"/>
        <v>7</v>
      </c>
      <c r="U397">
        <v>4.5999999999999996</v>
      </c>
      <c r="V397" t="b">
        <f t="shared" si="55"/>
        <v>1</v>
      </c>
    </row>
    <row r="398" spans="1:22" x14ac:dyDescent="0.25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7.5</v>
      </c>
      <c r="G398" t="s">
        <v>16</v>
      </c>
      <c r="H398" t="s">
        <v>17</v>
      </c>
      <c r="I398">
        <v>4.8</v>
      </c>
      <c r="J398">
        <v>5</v>
      </c>
      <c r="K398" t="s">
        <v>18</v>
      </c>
      <c r="L398">
        <v>4</v>
      </c>
      <c r="M398">
        <v>9</v>
      </c>
      <c r="N398" t="str">
        <f t="shared" si="48"/>
        <v>Instagram</v>
      </c>
      <c r="O398">
        <f t="shared" si="49"/>
        <v>1</v>
      </c>
      <c r="P398" t="str">
        <f t="shared" si="50"/>
        <v>4.8</v>
      </c>
      <c r="Q398" t="str">
        <f t="shared" si="51"/>
        <v>LESS SLEEP</v>
      </c>
      <c r="R398" t="b">
        <f t="shared" si="54"/>
        <v>1</v>
      </c>
      <c r="S398" t="str">
        <f t="shared" si="52"/>
        <v>High</v>
      </c>
      <c r="T398" t="str">
        <f t="shared" si="53"/>
        <v>9</v>
      </c>
      <c r="U398">
        <v>4.5999999999999996</v>
      </c>
      <c r="V398" t="b">
        <f t="shared" si="55"/>
        <v>1</v>
      </c>
    </row>
    <row r="399" spans="1:22" x14ac:dyDescent="0.25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6.3</v>
      </c>
      <c r="G399" t="s">
        <v>143</v>
      </c>
      <c r="H399" t="s">
        <v>17</v>
      </c>
      <c r="I399">
        <v>5.9</v>
      </c>
      <c r="J399">
        <v>6</v>
      </c>
      <c r="K399" t="s">
        <v>24</v>
      </c>
      <c r="L399">
        <v>3</v>
      </c>
      <c r="M399">
        <v>7</v>
      </c>
      <c r="N399" t="str">
        <f t="shared" si="48"/>
        <v>Whatsapp</v>
      </c>
      <c r="O399">
        <f t="shared" si="49"/>
        <v>1</v>
      </c>
      <c r="P399" t="str">
        <f t="shared" si="50"/>
        <v>5.9</v>
      </c>
      <c r="Q399" t="str">
        <f t="shared" si="51"/>
        <v>OK</v>
      </c>
      <c r="R399" t="b">
        <f t="shared" si="54"/>
        <v>1</v>
      </c>
      <c r="S399" t="str">
        <f t="shared" si="52"/>
        <v>High</v>
      </c>
      <c r="T399" t="str">
        <f t="shared" si="53"/>
        <v>7</v>
      </c>
      <c r="U399">
        <v>4.5999999999999996</v>
      </c>
      <c r="V399" t="b">
        <f t="shared" si="55"/>
        <v>1</v>
      </c>
    </row>
    <row r="400" spans="1:22" x14ac:dyDescent="0.25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3.8</v>
      </c>
      <c r="G400" t="s">
        <v>16</v>
      </c>
      <c r="H400" t="s">
        <v>23</v>
      </c>
      <c r="I400">
        <v>8.1999999999999993</v>
      </c>
      <c r="J400">
        <v>7</v>
      </c>
      <c r="K400" t="s">
        <v>18</v>
      </c>
      <c r="L400">
        <v>2</v>
      </c>
      <c r="M400">
        <v>5</v>
      </c>
      <c r="N400" t="str">
        <f t="shared" si="48"/>
        <v>Instagram</v>
      </c>
      <c r="O400">
        <f t="shared" si="49"/>
        <v>1</v>
      </c>
      <c r="P400" t="str">
        <f t="shared" si="50"/>
        <v>8.2</v>
      </c>
      <c r="Q400" t="str">
        <f t="shared" si="51"/>
        <v>OK</v>
      </c>
      <c r="R400" t="str">
        <f t="shared" si="54"/>
        <v>medium</v>
      </c>
      <c r="S400" t="str">
        <f t="shared" si="52"/>
        <v>Medium</v>
      </c>
      <c r="T400" t="str">
        <f t="shared" si="53"/>
        <v>5</v>
      </c>
      <c r="U400">
        <v>4.5999999999999996</v>
      </c>
      <c r="V400" t="b">
        <f t="shared" si="55"/>
        <v>1</v>
      </c>
    </row>
    <row r="401" spans="1:22" x14ac:dyDescent="0.25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4.5999999999999996</v>
      </c>
      <c r="G401" t="s">
        <v>26</v>
      </c>
      <c r="H401" t="s">
        <v>17</v>
      </c>
      <c r="I401">
        <v>7.6</v>
      </c>
      <c r="J401">
        <v>6</v>
      </c>
      <c r="K401" t="s">
        <v>24</v>
      </c>
      <c r="L401">
        <v>3</v>
      </c>
      <c r="M401">
        <v>7</v>
      </c>
      <c r="N401" t="str">
        <f t="shared" si="48"/>
        <v>Tiktok</v>
      </c>
      <c r="O401">
        <f t="shared" si="49"/>
        <v>2</v>
      </c>
      <c r="P401" t="str">
        <f t="shared" si="50"/>
        <v>7.6</v>
      </c>
      <c r="Q401" t="str">
        <f t="shared" si="51"/>
        <v>OK</v>
      </c>
      <c r="R401" t="b">
        <f t="shared" si="54"/>
        <v>1</v>
      </c>
      <c r="S401" t="str">
        <f t="shared" si="52"/>
        <v>High</v>
      </c>
      <c r="T401" t="str">
        <f t="shared" si="53"/>
        <v>7</v>
      </c>
      <c r="U401">
        <v>4.5999999999999996</v>
      </c>
      <c r="V401" t="b">
        <f t="shared" si="55"/>
        <v>1</v>
      </c>
    </row>
    <row r="402" spans="1:22" x14ac:dyDescent="0.25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4.4000000000000004</v>
      </c>
      <c r="G402" t="s">
        <v>16</v>
      </c>
      <c r="H402" t="s">
        <v>17</v>
      </c>
      <c r="I402">
        <v>7.5</v>
      </c>
      <c r="J402">
        <v>6</v>
      </c>
      <c r="K402" t="s">
        <v>24</v>
      </c>
      <c r="L402">
        <v>3</v>
      </c>
      <c r="M402">
        <v>7</v>
      </c>
      <c r="N402" t="str">
        <f t="shared" si="48"/>
        <v>Instagram</v>
      </c>
      <c r="O402">
        <f t="shared" si="49"/>
        <v>1</v>
      </c>
      <c r="P402" t="str">
        <f t="shared" si="50"/>
        <v>7.5</v>
      </c>
      <c r="Q402" t="str">
        <f t="shared" si="51"/>
        <v>OK</v>
      </c>
      <c r="R402" t="b">
        <f t="shared" si="54"/>
        <v>1</v>
      </c>
      <c r="S402" t="str">
        <f t="shared" si="52"/>
        <v>High</v>
      </c>
      <c r="T402" t="str">
        <f t="shared" si="53"/>
        <v>7</v>
      </c>
      <c r="U402">
        <v>4.5999999999999996</v>
      </c>
      <c r="V402" t="b">
        <f t="shared" si="55"/>
        <v>1</v>
      </c>
    </row>
    <row r="403" spans="1:22" x14ac:dyDescent="0.25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3.2</v>
      </c>
      <c r="G403" t="s">
        <v>32</v>
      </c>
      <c r="H403" t="s">
        <v>23</v>
      </c>
      <c r="I403">
        <v>8.6</v>
      </c>
      <c r="J403">
        <v>8</v>
      </c>
      <c r="K403" t="s">
        <v>18</v>
      </c>
      <c r="L403">
        <v>2</v>
      </c>
      <c r="M403">
        <v>4</v>
      </c>
      <c r="N403" t="str">
        <f t="shared" si="48"/>
        <v>Facebook</v>
      </c>
      <c r="O403">
        <f t="shared" si="49"/>
        <v>0</v>
      </c>
      <c r="P403" t="str">
        <f t="shared" si="50"/>
        <v>8.6</v>
      </c>
      <c r="Q403" t="str">
        <f t="shared" si="51"/>
        <v>OK</v>
      </c>
      <c r="R403" t="str">
        <f t="shared" si="54"/>
        <v>medium</v>
      </c>
      <c r="S403" t="str">
        <f t="shared" si="52"/>
        <v>Low</v>
      </c>
      <c r="T403" t="str">
        <f t="shared" si="53"/>
        <v>4</v>
      </c>
      <c r="U403">
        <v>4.5999999999999996</v>
      </c>
      <c r="V403" t="b">
        <f t="shared" si="55"/>
        <v>1</v>
      </c>
    </row>
    <row r="404" spans="1:22" x14ac:dyDescent="0.25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4.0999999999999996</v>
      </c>
      <c r="G404" t="s">
        <v>26</v>
      </c>
      <c r="H404" t="s">
        <v>17</v>
      </c>
      <c r="I404">
        <v>7.8</v>
      </c>
      <c r="J404">
        <v>7</v>
      </c>
      <c r="K404" t="s">
        <v>24</v>
      </c>
      <c r="L404">
        <v>3</v>
      </c>
      <c r="M404">
        <v>6</v>
      </c>
      <c r="N404" t="str">
        <f t="shared" si="48"/>
        <v>Tiktok</v>
      </c>
      <c r="O404">
        <f t="shared" si="49"/>
        <v>2</v>
      </c>
      <c r="P404" t="str">
        <f t="shared" si="50"/>
        <v>7.8</v>
      </c>
      <c r="Q404" t="str">
        <f t="shared" si="51"/>
        <v>OK</v>
      </c>
      <c r="R404" t="str">
        <f t="shared" si="54"/>
        <v>medium</v>
      </c>
      <c r="S404" t="str">
        <f t="shared" si="52"/>
        <v>Medium</v>
      </c>
      <c r="T404" t="str">
        <f t="shared" si="53"/>
        <v>6</v>
      </c>
      <c r="U404">
        <v>4.5999999999999996</v>
      </c>
      <c r="V404" t="b">
        <f t="shared" si="55"/>
        <v>1</v>
      </c>
    </row>
    <row r="405" spans="1:22" x14ac:dyDescent="0.25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6.6</v>
      </c>
      <c r="G405" t="s">
        <v>143</v>
      </c>
      <c r="H405" t="s">
        <v>17</v>
      </c>
      <c r="I405">
        <v>5.7</v>
      </c>
      <c r="J405">
        <v>5</v>
      </c>
      <c r="K405" t="s">
        <v>18</v>
      </c>
      <c r="L405">
        <v>4</v>
      </c>
      <c r="M405">
        <v>8</v>
      </c>
      <c r="N405" t="str">
        <f t="shared" si="48"/>
        <v>Whatsapp</v>
      </c>
      <c r="O405">
        <f t="shared" si="49"/>
        <v>1</v>
      </c>
      <c r="P405" t="str">
        <f t="shared" si="50"/>
        <v>5.7</v>
      </c>
      <c r="Q405" t="str">
        <f t="shared" si="51"/>
        <v>OK</v>
      </c>
      <c r="R405" t="b">
        <f t="shared" si="54"/>
        <v>1</v>
      </c>
      <c r="S405" t="str">
        <f t="shared" si="52"/>
        <v>High</v>
      </c>
      <c r="T405" t="str">
        <f t="shared" si="53"/>
        <v>8</v>
      </c>
      <c r="U405">
        <v>4.5999999999999996</v>
      </c>
      <c r="V405" t="b">
        <f t="shared" si="55"/>
        <v>1</v>
      </c>
    </row>
    <row r="406" spans="1:22" x14ac:dyDescent="0.25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3.1</v>
      </c>
      <c r="G406" t="s">
        <v>16</v>
      </c>
      <c r="H406" t="s">
        <v>23</v>
      </c>
      <c r="I406">
        <v>8.6999999999999993</v>
      </c>
      <c r="J406">
        <v>8</v>
      </c>
      <c r="K406" t="s">
        <v>24</v>
      </c>
      <c r="L406">
        <v>2</v>
      </c>
      <c r="M406">
        <v>4</v>
      </c>
      <c r="N406" t="str">
        <f t="shared" si="48"/>
        <v>Instagram</v>
      </c>
      <c r="O406">
        <f t="shared" si="49"/>
        <v>1</v>
      </c>
      <c r="P406" t="str">
        <f t="shared" si="50"/>
        <v>8.7</v>
      </c>
      <c r="Q406" t="str">
        <f t="shared" si="51"/>
        <v>OK</v>
      </c>
      <c r="R406" t="str">
        <f t="shared" si="54"/>
        <v>medium</v>
      </c>
      <c r="S406" t="str">
        <f t="shared" si="52"/>
        <v>Low</v>
      </c>
      <c r="T406" t="str">
        <f t="shared" si="53"/>
        <v>4</v>
      </c>
      <c r="U406">
        <v>4.5999999999999996</v>
      </c>
      <c r="V406" t="b">
        <f t="shared" si="55"/>
        <v>1</v>
      </c>
    </row>
    <row r="407" spans="1:22" x14ac:dyDescent="0.25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4.7</v>
      </c>
      <c r="G407" t="s">
        <v>16</v>
      </c>
      <c r="H407" t="s">
        <v>17</v>
      </c>
      <c r="I407">
        <v>7.5</v>
      </c>
      <c r="J407">
        <v>6</v>
      </c>
      <c r="K407" t="s">
        <v>24</v>
      </c>
      <c r="L407">
        <v>3</v>
      </c>
      <c r="M407">
        <v>7</v>
      </c>
      <c r="N407" t="str">
        <f t="shared" si="48"/>
        <v>Instagram</v>
      </c>
      <c r="O407">
        <f t="shared" si="49"/>
        <v>1</v>
      </c>
      <c r="P407" t="str">
        <f t="shared" si="50"/>
        <v>7.5</v>
      </c>
      <c r="Q407" t="str">
        <f t="shared" si="51"/>
        <v>OK</v>
      </c>
      <c r="R407" t="b">
        <f t="shared" si="54"/>
        <v>1</v>
      </c>
      <c r="S407" t="str">
        <f t="shared" si="52"/>
        <v>High</v>
      </c>
      <c r="T407" t="str">
        <f t="shared" si="53"/>
        <v>7</v>
      </c>
      <c r="U407">
        <v>4.5999999999999996</v>
      </c>
      <c r="V407" t="b">
        <f t="shared" si="55"/>
        <v>1</v>
      </c>
    </row>
    <row r="408" spans="1:22" x14ac:dyDescent="0.25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7.6</v>
      </c>
      <c r="G408" t="s">
        <v>26</v>
      </c>
      <c r="H408" t="s">
        <v>17</v>
      </c>
      <c r="I408">
        <v>4.7</v>
      </c>
      <c r="J408">
        <v>5</v>
      </c>
      <c r="K408" t="s">
        <v>18</v>
      </c>
      <c r="L408">
        <v>4</v>
      </c>
      <c r="M408">
        <v>9</v>
      </c>
      <c r="N408" t="str">
        <f t="shared" si="48"/>
        <v>Tiktok</v>
      </c>
      <c r="O408">
        <f t="shared" si="49"/>
        <v>2</v>
      </c>
      <c r="P408" t="str">
        <f t="shared" si="50"/>
        <v>4.7</v>
      </c>
      <c r="Q408" t="str">
        <f t="shared" si="51"/>
        <v>LESS SLEEP</v>
      </c>
      <c r="R408" t="b">
        <f t="shared" si="54"/>
        <v>1</v>
      </c>
      <c r="S408" t="str">
        <f t="shared" si="52"/>
        <v>High</v>
      </c>
      <c r="T408" t="str">
        <f t="shared" si="53"/>
        <v>9</v>
      </c>
      <c r="U408">
        <v>4.5999999999999996</v>
      </c>
      <c r="V408" t="b">
        <f t="shared" si="55"/>
        <v>1</v>
      </c>
    </row>
    <row r="409" spans="1:22" x14ac:dyDescent="0.25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6.4</v>
      </c>
      <c r="G409" t="s">
        <v>143</v>
      </c>
      <c r="H409" t="s">
        <v>17</v>
      </c>
      <c r="I409">
        <v>5.8</v>
      </c>
      <c r="J409">
        <v>6</v>
      </c>
      <c r="K409" t="s">
        <v>24</v>
      </c>
      <c r="L409">
        <v>3</v>
      </c>
      <c r="M409">
        <v>7</v>
      </c>
      <c r="N409" t="str">
        <f t="shared" si="48"/>
        <v>Whatsapp</v>
      </c>
      <c r="O409">
        <f t="shared" si="49"/>
        <v>1</v>
      </c>
      <c r="P409" t="str">
        <f t="shared" si="50"/>
        <v>5.8</v>
      </c>
      <c r="Q409" t="str">
        <f t="shared" si="51"/>
        <v>OK</v>
      </c>
      <c r="R409" t="b">
        <f t="shared" si="54"/>
        <v>1</v>
      </c>
      <c r="S409" t="str">
        <f t="shared" si="52"/>
        <v>High</v>
      </c>
      <c r="T409" t="str">
        <f t="shared" si="53"/>
        <v>7</v>
      </c>
      <c r="U409">
        <v>4.5999999999999996</v>
      </c>
      <c r="V409" t="b">
        <f t="shared" si="55"/>
        <v>1</v>
      </c>
    </row>
    <row r="410" spans="1:22" x14ac:dyDescent="0.25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3.7</v>
      </c>
      <c r="G410" t="s">
        <v>16</v>
      </c>
      <c r="H410" t="s">
        <v>23</v>
      </c>
      <c r="I410">
        <v>8.3000000000000007</v>
      </c>
      <c r="J410">
        <v>7</v>
      </c>
      <c r="K410" t="s">
        <v>18</v>
      </c>
      <c r="L410">
        <v>2</v>
      </c>
      <c r="M410">
        <v>5</v>
      </c>
      <c r="N410" t="str">
        <f t="shared" si="48"/>
        <v>Instagram</v>
      </c>
      <c r="O410">
        <f t="shared" si="49"/>
        <v>1</v>
      </c>
      <c r="P410" t="str">
        <f t="shared" si="50"/>
        <v>8.3</v>
      </c>
      <c r="Q410" t="str">
        <f t="shared" si="51"/>
        <v>OK</v>
      </c>
      <c r="R410" t="str">
        <f t="shared" si="54"/>
        <v>medium</v>
      </c>
      <c r="S410" t="str">
        <f t="shared" si="52"/>
        <v>Medium</v>
      </c>
      <c r="T410" t="str">
        <f t="shared" si="53"/>
        <v>5</v>
      </c>
      <c r="U410">
        <v>4.5999999999999996</v>
      </c>
      <c r="V410" t="b">
        <f t="shared" si="55"/>
        <v>1</v>
      </c>
    </row>
    <row r="411" spans="1:22" x14ac:dyDescent="0.25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4.5</v>
      </c>
      <c r="G411" t="s">
        <v>16</v>
      </c>
      <c r="H411" t="s">
        <v>17</v>
      </c>
      <c r="I411">
        <v>7.7</v>
      </c>
      <c r="J411">
        <v>6</v>
      </c>
      <c r="K411" t="s">
        <v>24</v>
      </c>
      <c r="L411">
        <v>3</v>
      </c>
      <c r="M411">
        <v>7</v>
      </c>
      <c r="N411" t="str">
        <f t="shared" si="48"/>
        <v>Instagram</v>
      </c>
      <c r="O411">
        <f t="shared" si="49"/>
        <v>1</v>
      </c>
      <c r="P411" t="str">
        <f t="shared" si="50"/>
        <v>7.7</v>
      </c>
      <c r="Q411" t="str">
        <f t="shared" si="51"/>
        <v>OK</v>
      </c>
      <c r="R411" t="b">
        <f t="shared" si="54"/>
        <v>1</v>
      </c>
      <c r="S411" t="str">
        <f t="shared" si="52"/>
        <v>High</v>
      </c>
      <c r="T411" t="str">
        <f t="shared" si="53"/>
        <v>7</v>
      </c>
      <c r="U411">
        <v>4.5999999999999996</v>
      </c>
      <c r="V411" t="b">
        <f t="shared" si="55"/>
        <v>1</v>
      </c>
    </row>
    <row r="412" spans="1:22" x14ac:dyDescent="0.25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4.3</v>
      </c>
      <c r="G412" t="s">
        <v>26</v>
      </c>
      <c r="H412" t="s">
        <v>17</v>
      </c>
      <c r="I412">
        <v>7.6</v>
      </c>
      <c r="J412">
        <v>6</v>
      </c>
      <c r="K412" t="s">
        <v>24</v>
      </c>
      <c r="L412">
        <v>3</v>
      </c>
      <c r="M412">
        <v>7</v>
      </c>
      <c r="N412" t="str">
        <f t="shared" si="48"/>
        <v>Tiktok</v>
      </c>
      <c r="O412">
        <f t="shared" si="49"/>
        <v>2</v>
      </c>
      <c r="P412" t="str">
        <f t="shared" si="50"/>
        <v>7.6</v>
      </c>
      <c r="Q412" t="str">
        <f t="shared" si="51"/>
        <v>OK</v>
      </c>
      <c r="R412" t="b">
        <f t="shared" si="54"/>
        <v>1</v>
      </c>
      <c r="S412" t="str">
        <f t="shared" si="52"/>
        <v>High</v>
      </c>
      <c r="T412" t="str">
        <f t="shared" si="53"/>
        <v>7</v>
      </c>
      <c r="U412">
        <v>4.5999999999999996</v>
      </c>
      <c r="V412" t="b">
        <f t="shared" si="55"/>
        <v>1</v>
      </c>
    </row>
    <row r="413" spans="1:22" x14ac:dyDescent="0.25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3.1</v>
      </c>
      <c r="G413" t="s">
        <v>32</v>
      </c>
      <c r="H413" t="s">
        <v>23</v>
      </c>
      <c r="I413">
        <v>8.6999999999999993</v>
      </c>
      <c r="J413">
        <v>8</v>
      </c>
      <c r="K413" t="s">
        <v>18</v>
      </c>
      <c r="L413">
        <v>2</v>
      </c>
      <c r="M413">
        <v>4</v>
      </c>
      <c r="N413" t="str">
        <f t="shared" si="48"/>
        <v>Facebook</v>
      </c>
      <c r="O413">
        <f t="shared" si="49"/>
        <v>0</v>
      </c>
      <c r="P413" t="str">
        <f t="shared" si="50"/>
        <v>8.7</v>
      </c>
      <c r="Q413" t="str">
        <f t="shared" si="51"/>
        <v>OK</v>
      </c>
      <c r="R413" t="str">
        <f t="shared" si="54"/>
        <v>medium</v>
      </c>
      <c r="S413" t="str">
        <f t="shared" si="52"/>
        <v>Low</v>
      </c>
      <c r="T413" t="str">
        <f t="shared" si="53"/>
        <v>4</v>
      </c>
      <c r="U413">
        <v>4.5999999999999996</v>
      </c>
      <c r="V413" t="b">
        <f t="shared" si="55"/>
        <v>1</v>
      </c>
    </row>
    <row r="414" spans="1:22" x14ac:dyDescent="0.25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4</v>
      </c>
      <c r="G414" t="s">
        <v>16</v>
      </c>
      <c r="H414" t="s">
        <v>17</v>
      </c>
      <c r="I414">
        <v>7.9</v>
      </c>
      <c r="J414">
        <v>7</v>
      </c>
      <c r="K414" t="s">
        <v>24</v>
      </c>
      <c r="L414">
        <v>3</v>
      </c>
      <c r="M414">
        <v>6</v>
      </c>
      <c r="N414" t="str">
        <f t="shared" si="48"/>
        <v>Instagram</v>
      </c>
      <c r="O414">
        <f t="shared" si="49"/>
        <v>1</v>
      </c>
      <c r="P414" t="str">
        <f t="shared" si="50"/>
        <v>7.9</v>
      </c>
      <c r="Q414" t="str">
        <f t="shared" si="51"/>
        <v>OK</v>
      </c>
      <c r="R414" t="str">
        <f t="shared" si="54"/>
        <v>medium</v>
      </c>
      <c r="S414" t="str">
        <f t="shared" si="52"/>
        <v>Medium</v>
      </c>
      <c r="T414" t="str">
        <f t="shared" si="53"/>
        <v>6</v>
      </c>
      <c r="U414">
        <v>4.5999999999999996</v>
      </c>
      <c r="V414" t="b">
        <f t="shared" si="55"/>
        <v>1</v>
      </c>
    </row>
    <row r="415" spans="1:22" x14ac:dyDescent="0.25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6.7</v>
      </c>
      <c r="G415" t="s">
        <v>143</v>
      </c>
      <c r="H415" t="s">
        <v>17</v>
      </c>
      <c r="I415">
        <v>5.6</v>
      </c>
      <c r="J415">
        <v>5</v>
      </c>
      <c r="K415" t="s">
        <v>18</v>
      </c>
      <c r="L415">
        <v>4</v>
      </c>
      <c r="M415">
        <v>8</v>
      </c>
      <c r="N415" t="str">
        <f t="shared" si="48"/>
        <v>Whatsapp</v>
      </c>
      <c r="O415">
        <f t="shared" si="49"/>
        <v>1</v>
      </c>
      <c r="P415" t="str">
        <f t="shared" si="50"/>
        <v>5.6</v>
      </c>
      <c r="Q415" t="str">
        <f t="shared" si="51"/>
        <v>OK</v>
      </c>
      <c r="R415" t="b">
        <f t="shared" si="54"/>
        <v>1</v>
      </c>
      <c r="S415" t="str">
        <f t="shared" si="52"/>
        <v>High</v>
      </c>
      <c r="T415" t="str">
        <f t="shared" si="53"/>
        <v>8</v>
      </c>
      <c r="U415">
        <v>4.5999999999999996</v>
      </c>
      <c r="V415" t="b">
        <f t="shared" si="55"/>
        <v>1</v>
      </c>
    </row>
    <row r="416" spans="1:22" x14ac:dyDescent="0.25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3</v>
      </c>
      <c r="G416" t="s">
        <v>16</v>
      </c>
      <c r="H416" t="s">
        <v>23</v>
      </c>
      <c r="I416">
        <v>8.8000000000000007</v>
      </c>
      <c r="J416">
        <v>8</v>
      </c>
      <c r="K416" t="s">
        <v>24</v>
      </c>
      <c r="L416">
        <v>2</v>
      </c>
      <c r="M416">
        <v>4</v>
      </c>
      <c r="N416" t="str">
        <f t="shared" si="48"/>
        <v>Instagram</v>
      </c>
      <c r="O416">
        <f t="shared" si="49"/>
        <v>1</v>
      </c>
      <c r="P416" t="str">
        <f t="shared" si="50"/>
        <v>8.8</v>
      </c>
      <c r="Q416" t="str">
        <f t="shared" si="51"/>
        <v>OK</v>
      </c>
      <c r="R416" t="str">
        <f t="shared" si="54"/>
        <v>medium</v>
      </c>
      <c r="S416" t="str">
        <f t="shared" si="52"/>
        <v>Low</v>
      </c>
      <c r="T416" t="str">
        <f t="shared" si="53"/>
        <v>4</v>
      </c>
      <c r="U416">
        <v>4.5999999999999996</v>
      </c>
      <c r="V416" t="b">
        <f t="shared" si="55"/>
        <v>1</v>
      </c>
    </row>
    <row r="417" spans="1:22" x14ac:dyDescent="0.25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4.5999999999999996</v>
      </c>
      <c r="G417" t="s">
        <v>26</v>
      </c>
      <c r="H417" t="s">
        <v>17</v>
      </c>
      <c r="I417">
        <v>7.6</v>
      </c>
      <c r="J417">
        <v>6</v>
      </c>
      <c r="K417" t="s">
        <v>24</v>
      </c>
      <c r="L417">
        <v>3</v>
      </c>
      <c r="M417">
        <v>7</v>
      </c>
      <c r="N417" t="str">
        <f t="shared" si="48"/>
        <v>Tiktok</v>
      </c>
      <c r="O417">
        <f t="shared" si="49"/>
        <v>2</v>
      </c>
      <c r="P417" t="str">
        <f t="shared" si="50"/>
        <v>7.6</v>
      </c>
      <c r="Q417" t="str">
        <f t="shared" si="51"/>
        <v>OK</v>
      </c>
      <c r="R417" t="b">
        <f t="shared" si="54"/>
        <v>1</v>
      </c>
      <c r="S417" t="str">
        <f t="shared" si="52"/>
        <v>High</v>
      </c>
      <c r="T417" t="str">
        <f t="shared" si="53"/>
        <v>7</v>
      </c>
      <c r="U417">
        <v>4.5999999999999996</v>
      </c>
      <c r="V417" t="b">
        <f t="shared" si="55"/>
        <v>1</v>
      </c>
    </row>
    <row r="418" spans="1:22" x14ac:dyDescent="0.25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7.7</v>
      </c>
      <c r="G418" t="s">
        <v>16</v>
      </c>
      <c r="H418" t="s">
        <v>17</v>
      </c>
      <c r="I418">
        <v>4.5999999999999996</v>
      </c>
      <c r="J418">
        <v>5</v>
      </c>
      <c r="K418" t="s">
        <v>18</v>
      </c>
      <c r="L418">
        <v>4</v>
      </c>
      <c r="M418">
        <v>9</v>
      </c>
      <c r="N418" t="str">
        <f t="shared" si="48"/>
        <v>Instagram</v>
      </c>
      <c r="O418">
        <f t="shared" si="49"/>
        <v>1</v>
      </c>
      <c r="P418" t="str">
        <f t="shared" si="50"/>
        <v>4.6</v>
      </c>
      <c r="Q418" t="str">
        <f t="shared" si="51"/>
        <v>LESS SLEEP</v>
      </c>
      <c r="R418" t="b">
        <f t="shared" si="54"/>
        <v>1</v>
      </c>
      <c r="S418" t="str">
        <f t="shared" si="52"/>
        <v>High</v>
      </c>
      <c r="T418" t="str">
        <f t="shared" si="53"/>
        <v>9</v>
      </c>
      <c r="U418">
        <v>4.5</v>
      </c>
      <c r="V418" t="b">
        <f t="shared" si="55"/>
        <v>1</v>
      </c>
    </row>
    <row r="419" spans="1:22" x14ac:dyDescent="0.25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6.5</v>
      </c>
      <c r="G419" t="s">
        <v>143</v>
      </c>
      <c r="H419" t="s">
        <v>17</v>
      </c>
      <c r="I419">
        <v>5.7</v>
      </c>
      <c r="J419">
        <v>6</v>
      </c>
      <c r="K419" t="s">
        <v>24</v>
      </c>
      <c r="L419">
        <v>3</v>
      </c>
      <c r="M419">
        <v>7</v>
      </c>
      <c r="N419" t="str">
        <f t="shared" si="48"/>
        <v>Whatsapp</v>
      </c>
      <c r="O419">
        <f t="shared" si="49"/>
        <v>1</v>
      </c>
      <c r="P419" t="str">
        <f t="shared" si="50"/>
        <v>5.7</v>
      </c>
      <c r="Q419" t="str">
        <f t="shared" si="51"/>
        <v>OK</v>
      </c>
      <c r="R419" t="b">
        <f t="shared" si="54"/>
        <v>1</v>
      </c>
      <c r="S419" t="str">
        <f t="shared" si="52"/>
        <v>High</v>
      </c>
      <c r="T419" t="str">
        <f t="shared" si="53"/>
        <v>7</v>
      </c>
      <c r="U419">
        <v>4.5</v>
      </c>
      <c r="V419" t="b">
        <f t="shared" si="55"/>
        <v>1</v>
      </c>
    </row>
    <row r="420" spans="1:22" x14ac:dyDescent="0.25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3.6</v>
      </c>
      <c r="G420" t="s">
        <v>16</v>
      </c>
      <c r="H420" t="s">
        <v>23</v>
      </c>
      <c r="I420">
        <v>8.4</v>
      </c>
      <c r="J420">
        <v>7</v>
      </c>
      <c r="K420" t="s">
        <v>18</v>
      </c>
      <c r="L420">
        <v>2</v>
      </c>
      <c r="M420">
        <v>5</v>
      </c>
      <c r="N420" t="str">
        <f t="shared" si="48"/>
        <v>Instagram</v>
      </c>
      <c r="O420">
        <f t="shared" si="49"/>
        <v>1</v>
      </c>
      <c r="P420" t="str">
        <f t="shared" si="50"/>
        <v>8.4</v>
      </c>
      <c r="Q420" t="str">
        <f t="shared" si="51"/>
        <v>OK</v>
      </c>
      <c r="R420" t="str">
        <f t="shared" si="54"/>
        <v>medium</v>
      </c>
      <c r="S420" t="str">
        <f t="shared" si="52"/>
        <v>Medium</v>
      </c>
      <c r="T420" t="str">
        <f t="shared" si="53"/>
        <v>5</v>
      </c>
      <c r="U420">
        <v>4.5</v>
      </c>
      <c r="V420" t="b">
        <f t="shared" si="55"/>
        <v>1</v>
      </c>
    </row>
    <row r="421" spans="1:22" x14ac:dyDescent="0.25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4.4000000000000004</v>
      </c>
      <c r="G421" t="s">
        <v>26</v>
      </c>
      <c r="H421" t="s">
        <v>17</v>
      </c>
      <c r="I421">
        <v>7.8</v>
      </c>
      <c r="J421">
        <v>6</v>
      </c>
      <c r="K421" t="s">
        <v>24</v>
      </c>
      <c r="L421">
        <v>3</v>
      </c>
      <c r="M421">
        <v>7</v>
      </c>
      <c r="N421" t="str">
        <f t="shared" si="48"/>
        <v>Tiktok</v>
      </c>
      <c r="O421">
        <f t="shared" si="49"/>
        <v>2</v>
      </c>
      <c r="P421" t="str">
        <f t="shared" si="50"/>
        <v>7.8</v>
      </c>
      <c r="Q421" t="str">
        <f t="shared" si="51"/>
        <v>OK</v>
      </c>
      <c r="R421" t="b">
        <f t="shared" si="54"/>
        <v>1</v>
      </c>
      <c r="S421" t="str">
        <f t="shared" si="52"/>
        <v>High</v>
      </c>
      <c r="T421" t="str">
        <f t="shared" si="53"/>
        <v>7</v>
      </c>
      <c r="U421">
        <v>4.5</v>
      </c>
      <c r="V421" t="b">
        <f t="shared" si="55"/>
        <v>1</v>
      </c>
    </row>
    <row r="422" spans="1:22" x14ac:dyDescent="0.25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4.2</v>
      </c>
      <c r="G422" t="s">
        <v>16</v>
      </c>
      <c r="H422" t="s">
        <v>17</v>
      </c>
      <c r="I422">
        <v>7.7</v>
      </c>
      <c r="J422">
        <v>6</v>
      </c>
      <c r="K422" t="s">
        <v>24</v>
      </c>
      <c r="L422">
        <v>3</v>
      </c>
      <c r="M422">
        <v>7</v>
      </c>
      <c r="N422" t="str">
        <f t="shared" si="48"/>
        <v>Instagram</v>
      </c>
      <c r="O422">
        <f t="shared" si="49"/>
        <v>1</v>
      </c>
      <c r="P422" t="str">
        <f t="shared" si="50"/>
        <v>7.7</v>
      </c>
      <c r="Q422" t="str">
        <f t="shared" si="51"/>
        <v>OK</v>
      </c>
      <c r="R422" t="b">
        <f t="shared" si="54"/>
        <v>1</v>
      </c>
      <c r="S422" t="str">
        <f t="shared" si="52"/>
        <v>High</v>
      </c>
      <c r="T422" t="str">
        <f t="shared" si="53"/>
        <v>7</v>
      </c>
      <c r="U422">
        <v>4.5</v>
      </c>
      <c r="V422" t="b">
        <f t="shared" si="55"/>
        <v>1</v>
      </c>
    </row>
    <row r="423" spans="1:22" x14ac:dyDescent="0.25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3</v>
      </c>
      <c r="G423" t="s">
        <v>32</v>
      </c>
      <c r="H423" t="s">
        <v>23</v>
      </c>
      <c r="I423">
        <v>8.8000000000000007</v>
      </c>
      <c r="J423">
        <v>8</v>
      </c>
      <c r="K423" t="s">
        <v>18</v>
      </c>
      <c r="L423">
        <v>2</v>
      </c>
      <c r="M423">
        <v>4</v>
      </c>
      <c r="N423" t="str">
        <f t="shared" si="48"/>
        <v>Facebook</v>
      </c>
      <c r="O423">
        <f t="shared" si="49"/>
        <v>0</v>
      </c>
      <c r="P423" t="str">
        <f t="shared" si="50"/>
        <v>8.8</v>
      </c>
      <c r="Q423" t="str">
        <f t="shared" si="51"/>
        <v>OK</v>
      </c>
      <c r="R423" t="str">
        <f t="shared" si="54"/>
        <v>medium</v>
      </c>
      <c r="S423" t="str">
        <f t="shared" si="52"/>
        <v>Low</v>
      </c>
      <c r="T423" t="str">
        <f t="shared" si="53"/>
        <v>4</v>
      </c>
      <c r="U423">
        <v>4.5</v>
      </c>
      <c r="V423" t="b">
        <f t="shared" si="55"/>
        <v>1</v>
      </c>
    </row>
    <row r="424" spans="1:22" x14ac:dyDescent="0.25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3.9</v>
      </c>
      <c r="G424" t="s">
        <v>26</v>
      </c>
      <c r="H424" t="s">
        <v>17</v>
      </c>
      <c r="I424">
        <v>8</v>
      </c>
      <c r="J424">
        <v>7</v>
      </c>
      <c r="K424" t="s">
        <v>24</v>
      </c>
      <c r="L424">
        <v>3</v>
      </c>
      <c r="M424">
        <v>6</v>
      </c>
      <c r="N424" t="str">
        <f t="shared" si="48"/>
        <v>Tiktok</v>
      </c>
      <c r="O424">
        <f t="shared" si="49"/>
        <v>2</v>
      </c>
      <c r="P424" t="str">
        <f t="shared" si="50"/>
        <v>8</v>
      </c>
      <c r="Q424" t="str">
        <f t="shared" si="51"/>
        <v>OK</v>
      </c>
      <c r="R424" t="str">
        <f t="shared" si="54"/>
        <v>medium</v>
      </c>
      <c r="S424" t="str">
        <f t="shared" si="52"/>
        <v>Medium</v>
      </c>
      <c r="T424" t="str">
        <f t="shared" si="53"/>
        <v>6</v>
      </c>
      <c r="U424">
        <v>4.5</v>
      </c>
      <c r="V424" t="b">
        <f t="shared" si="55"/>
        <v>1</v>
      </c>
    </row>
    <row r="425" spans="1:22" x14ac:dyDescent="0.25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6.8</v>
      </c>
      <c r="G425" t="s">
        <v>143</v>
      </c>
      <c r="H425" t="s">
        <v>17</v>
      </c>
      <c r="I425">
        <v>5.5</v>
      </c>
      <c r="J425">
        <v>5</v>
      </c>
      <c r="K425" t="s">
        <v>18</v>
      </c>
      <c r="L425">
        <v>4</v>
      </c>
      <c r="M425">
        <v>8</v>
      </c>
      <c r="N425" t="str">
        <f t="shared" si="48"/>
        <v>Whatsapp</v>
      </c>
      <c r="O425">
        <f t="shared" si="49"/>
        <v>1</v>
      </c>
      <c r="P425" t="str">
        <f t="shared" si="50"/>
        <v>5.5</v>
      </c>
      <c r="Q425" t="str">
        <f t="shared" si="51"/>
        <v>OK</v>
      </c>
      <c r="R425" t="b">
        <f t="shared" si="54"/>
        <v>1</v>
      </c>
      <c r="S425" t="str">
        <f t="shared" si="52"/>
        <v>High</v>
      </c>
      <c r="T425" t="str">
        <f t="shared" si="53"/>
        <v>8</v>
      </c>
      <c r="U425">
        <v>4.5</v>
      </c>
      <c r="V425" t="b">
        <f t="shared" si="55"/>
        <v>1</v>
      </c>
    </row>
    <row r="426" spans="1:22" x14ac:dyDescent="0.25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2.9</v>
      </c>
      <c r="G426" t="s">
        <v>16</v>
      </c>
      <c r="H426" t="s">
        <v>23</v>
      </c>
      <c r="I426">
        <v>8.9</v>
      </c>
      <c r="J426">
        <v>8</v>
      </c>
      <c r="K426" t="s">
        <v>24</v>
      </c>
      <c r="L426">
        <v>2</v>
      </c>
      <c r="M426">
        <v>4</v>
      </c>
      <c r="N426" t="str">
        <f t="shared" si="48"/>
        <v>Instagram</v>
      </c>
      <c r="O426">
        <f t="shared" si="49"/>
        <v>1</v>
      </c>
      <c r="P426" t="str">
        <f t="shared" si="50"/>
        <v>8.9</v>
      </c>
      <c r="Q426" t="str">
        <f t="shared" si="51"/>
        <v>OK</v>
      </c>
      <c r="R426" t="str">
        <f t="shared" si="54"/>
        <v>medium</v>
      </c>
      <c r="S426" t="str">
        <f t="shared" si="52"/>
        <v>Low</v>
      </c>
      <c r="T426" t="str">
        <f t="shared" si="53"/>
        <v>4</v>
      </c>
      <c r="U426">
        <v>4.5</v>
      </c>
      <c r="V426" t="b">
        <f t="shared" si="55"/>
        <v>1</v>
      </c>
    </row>
    <row r="427" spans="1:22" x14ac:dyDescent="0.25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4.5</v>
      </c>
      <c r="G427" t="s">
        <v>16</v>
      </c>
      <c r="H427" t="s">
        <v>17</v>
      </c>
      <c r="I427">
        <v>7.7</v>
      </c>
      <c r="J427">
        <v>6</v>
      </c>
      <c r="K427" t="s">
        <v>24</v>
      </c>
      <c r="L427">
        <v>3</v>
      </c>
      <c r="M427">
        <v>7</v>
      </c>
      <c r="N427" t="str">
        <f t="shared" si="48"/>
        <v>Instagram</v>
      </c>
      <c r="O427">
        <f t="shared" si="49"/>
        <v>1</v>
      </c>
      <c r="P427" t="str">
        <f t="shared" si="50"/>
        <v>7.7</v>
      </c>
      <c r="Q427" t="str">
        <f t="shared" si="51"/>
        <v>OK</v>
      </c>
      <c r="R427" t="b">
        <f t="shared" si="54"/>
        <v>1</v>
      </c>
      <c r="S427" t="str">
        <f t="shared" si="52"/>
        <v>High</v>
      </c>
      <c r="T427" t="str">
        <f t="shared" si="53"/>
        <v>7</v>
      </c>
      <c r="U427">
        <v>4.5</v>
      </c>
      <c r="V427" t="b">
        <f t="shared" si="55"/>
        <v>1</v>
      </c>
    </row>
    <row r="428" spans="1:22" x14ac:dyDescent="0.25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7.8</v>
      </c>
      <c r="G428" t="s">
        <v>26</v>
      </c>
      <c r="H428" t="s">
        <v>17</v>
      </c>
      <c r="I428">
        <v>4.5</v>
      </c>
      <c r="J428">
        <v>5</v>
      </c>
      <c r="K428" t="s">
        <v>18</v>
      </c>
      <c r="L428">
        <v>4</v>
      </c>
      <c r="M428">
        <v>9</v>
      </c>
      <c r="N428" t="str">
        <f t="shared" si="48"/>
        <v>Tiktok</v>
      </c>
      <c r="O428">
        <f t="shared" si="49"/>
        <v>2</v>
      </c>
      <c r="P428" t="str">
        <f t="shared" si="50"/>
        <v>4.5</v>
      </c>
      <c r="Q428" t="str">
        <f t="shared" si="51"/>
        <v>LESS SLEEP</v>
      </c>
      <c r="R428" t="b">
        <f t="shared" si="54"/>
        <v>1</v>
      </c>
      <c r="S428" t="str">
        <f t="shared" si="52"/>
        <v>High</v>
      </c>
      <c r="T428" t="str">
        <f t="shared" si="53"/>
        <v>9</v>
      </c>
      <c r="U428">
        <v>4.5</v>
      </c>
      <c r="V428" t="b">
        <f t="shared" si="55"/>
        <v>1</v>
      </c>
    </row>
    <row r="429" spans="1:22" x14ac:dyDescent="0.25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6.6</v>
      </c>
      <c r="G429" t="s">
        <v>143</v>
      </c>
      <c r="H429" t="s">
        <v>17</v>
      </c>
      <c r="I429">
        <v>5.6</v>
      </c>
      <c r="J429">
        <v>6</v>
      </c>
      <c r="K429" t="s">
        <v>24</v>
      </c>
      <c r="L429">
        <v>3</v>
      </c>
      <c r="M429">
        <v>7</v>
      </c>
      <c r="N429" t="str">
        <f t="shared" si="48"/>
        <v>Whatsapp</v>
      </c>
      <c r="O429">
        <f t="shared" si="49"/>
        <v>1</v>
      </c>
      <c r="P429" t="str">
        <f t="shared" si="50"/>
        <v>5.6</v>
      </c>
      <c r="Q429" t="str">
        <f t="shared" si="51"/>
        <v>OK</v>
      </c>
      <c r="R429" t="b">
        <f t="shared" si="54"/>
        <v>1</v>
      </c>
      <c r="S429" t="str">
        <f t="shared" si="52"/>
        <v>High</v>
      </c>
      <c r="T429" t="str">
        <f t="shared" si="53"/>
        <v>7</v>
      </c>
      <c r="U429">
        <v>4.5</v>
      </c>
      <c r="V429" t="b">
        <f t="shared" si="55"/>
        <v>1</v>
      </c>
    </row>
    <row r="430" spans="1:22" x14ac:dyDescent="0.25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3.5</v>
      </c>
      <c r="G430" t="s">
        <v>16</v>
      </c>
      <c r="H430" t="s">
        <v>23</v>
      </c>
      <c r="I430">
        <v>8.5</v>
      </c>
      <c r="J430">
        <v>7</v>
      </c>
      <c r="K430" t="s">
        <v>18</v>
      </c>
      <c r="L430">
        <v>2</v>
      </c>
      <c r="M430">
        <v>5</v>
      </c>
      <c r="N430" t="str">
        <f t="shared" si="48"/>
        <v>Instagram</v>
      </c>
      <c r="O430">
        <f t="shared" si="49"/>
        <v>1</v>
      </c>
      <c r="P430" t="str">
        <f t="shared" si="50"/>
        <v>8.5</v>
      </c>
      <c r="Q430" t="str">
        <f t="shared" si="51"/>
        <v>OK</v>
      </c>
      <c r="R430" t="str">
        <f t="shared" si="54"/>
        <v>medium</v>
      </c>
      <c r="S430" t="str">
        <f t="shared" si="52"/>
        <v>Medium</v>
      </c>
      <c r="T430" t="str">
        <f t="shared" si="53"/>
        <v>5</v>
      </c>
      <c r="U430">
        <v>4.5</v>
      </c>
      <c r="V430" t="b">
        <f t="shared" si="55"/>
        <v>1</v>
      </c>
    </row>
    <row r="431" spans="1:22" x14ac:dyDescent="0.25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4.3</v>
      </c>
      <c r="G431" t="s">
        <v>16</v>
      </c>
      <c r="H431" t="s">
        <v>17</v>
      </c>
      <c r="I431">
        <v>7.9</v>
      </c>
      <c r="J431">
        <v>6</v>
      </c>
      <c r="K431" t="s">
        <v>24</v>
      </c>
      <c r="L431">
        <v>3</v>
      </c>
      <c r="M431">
        <v>7</v>
      </c>
      <c r="N431" t="str">
        <f t="shared" si="48"/>
        <v>Instagram</v>
      </c>
      <c r="O431">
        <f t="shared" si="49"/>
        <v>1</v>
      </c>
      <c r="P431" t="str">
        <f t="shared" si="50"/>
        <v>7.9</v>
      </c>
      <c r="Q431" t="str">
        <f t="shared" si="51"/>
        <v>OK</v>
      </c>
      <c r="R431" t="b">
        <f t="shared" si="54"/>
        <v>1</v>
      </c>
      <c r="S431" t="str">
        <f t="shared" si="52"/>
        <v>High</v>
      </c>
      <c r="T431" t="str">
        <f t="shared" si="53"/>
        <v>7</v>
      </c>
      <c r="U431">
        <v>4.5</v>
      </c>
      <c r="V431" t="b">
        <f t="shared" si="55"/>
        <v>1</v>
      </c>
    </row>
    <row r="432" spans="1:22" x14ac:dyDescent="0.25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4.0999999999999996</v>
      </c>
      <c r="G432" t="s">
        <v>26</v>
      </c>
      <c r="H432" t="s">
        <v>17</v>
      </c>
      <c r="I432">
        <v>7.8</v>
      </c>
      <c r="J432">
        <v>6</v>
      </c>
      <c r="K432" t="s">
        <v>24</v>
      </c>
      <c r="L432">
        <v>3</v>
      </c>
      <c r="M432">
        <v>7</v>
      </c>
      <c r="N432" t="str">
        <f t="shared" si="48"/>
        <v>Tiktok</v>
      </c>
      <c r="O432">
        <f t="shared" si="49"/>
        <v>2</v>
      </c>
      <c r="P432" t="str">
        <f t="shared" si="50"/>
        <v>7.8</v>
      </c>
      <c r="Q432" t="str">
        <f t="shared" si="51"/>
        <v>OK</v>
      </c>
      <c r="R432" t="b">
        <f t="shared" si="54"/>
        <v>1</v>
      </c>
      <c r="S432" t="str">
        <f t="shared" si="52"/>
        <v>High</v>
      </c>
      <c r="T432" t="str">
        <f t="shared" si="53"/>
        <v>7</v>
      </c>
      <c r="U432">
        <v>4.5</v>
      </c>
      <c r="V432" t="b">
        <f t="shared" si="55"/>
        <v>1</v>
      </c>
    </row>
    <row r="433" spans="1:22" x14ac:dyDescent="0.25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2.9</v>
      </c>
      <c r="G433" t="s">
        <v>32</v>
      </c>
      <c r="H433" t="s">
        <v>23</v>
      </c>
      <c r="I433">
        <v>8.9</v>
      </c>
      <c r="J433">
        <v>8</v>
      </c>
      <c r="K433" t="s">
        <v>18</v>
      </c>
      <c r="L433">
        <v>2</v>
      </c>
      <c r="M433">
        <v>4</v>
      </c>
      <c r="N433" t="str">
        <f t="shared" si="48"/>
        <v>Facebook</v>
      </c>
      <c r="O433">
        <f t="shared" si="49"/>
        <v>0</v>
      </c>
      <c r="P433" t="str">
        <f t="shared" si="50"/>
        <v>8.9</v>
      </c>
      <c r="Q433" t="str">
        <f t="shared" si="51"/>
        <v>OK</v>
      </c>
      <c r="R433" t="str">
        <f t="shared" si="54"/>
        <v>medium</v>
      </c>
      <c r="S433" t="str">
        <f t="shared" si="52"/>
        <v>Low</v>
      </c>
      <c r="T433" t="str">
        <f t="shared" si="53"/>
        <v>4</v>
      </c>
      <c r="U433">
        <v>4.5</v>
      </c>
      <c r="V433" t="b">
        <f t="shared" si="55"/>
        <v>1</v>
      </c>
    </row>
    <row r="434" spans="1:22" x14ac:dyDescent="0.25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3.8</v>
      </c>
      <c r="G434" t="s">
        <v>16</v>
      </c>
      <c r="H434" t="s">
        <v>17</v>
      </c>
      <c r="I434">
        <v>8.1</v>
      </c>
      <c r="J434">
        <v>7</v>
      </c>
      <c r="K434" t="s">
        <v>24</v>
      </c>
      <c r="L434">
        <v>3</v>
      </c>
      <c r="M434">
        <v>6</v>
      </c>
      <c r="N434" t="str">
        <f t="shared" si="48"/>
        <v>Instagram</v>
      </c>
      <c r="O434">
        <f t="shared" si="49"/>
        <v>1</v>
      </c>
      <c r="P434" t="str">
        <f t="shared" si="50"/>
        <v>8.1</v>
      </c>
      <c r="Q434" t="str">
        <f t="shared" si="51"/>
        <v>OK</v>
      </c>
      <c r="R434" t="str">
        <f t="shared" si="54"/>
        <v>medium</v>
      </c>
      <c r="S434" t="str">
        <f t="shared" si="52"/>
        <v>Medium</v>
      </c>
      <c r="T434" t="str">
        <f t="shared" si="53"/>
        <v>6</v>
      </c>
      <c r="U434">
        <v>4.5</v>
      </c>
      <c r="V434" t="b">
        <f t="shared" si="55"/>
        <v>1</v>
      </c>
    </row>
    <row r="435" spans="1:22" x14ac:dyDescent="0.25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6.9</v>
      </c>
      <c r="G435" t="s">
        <v>143</v>
      </c>
      <c r="H435" t="s">
        <v>17</v>
      </c>
      <c r="I435">
        <v>5.4</v>
      </c>
      <c r="J435">
        <v>5</v>
      </c>
      <c r="K435" t="s">
        <v>18</v>
      </c>
      <c r="L435">
        <v>4</v>
      </c>
      <c r="M435">
        <v>8</v>
      </c>
      <c r="N435" t="str">
        <f t="shared" si="48"/>
        <v>Whatsapp</v>
      </c>
      <c r="O435">
        <f t="shared" si="49"/>
        <v>1</v>
      </c>
      <c r="P435" t="str">
        <f t="shared" si="50"/>
        <v>5.4</v>
      </c>
      <c r="Q435" t="str">
        <f t="shared" si="51"/>
        <v>OK</v>
      </c>
      <c r="R435" t="b">
        <f t="shared" si="54"/>
        <v>1</v>
      </c>
      <c r="S435" t="str">
        <f t="shared" si="52"/>
        <v>High</v>
      </c>
      <c r="T435" t="str">
        <f t="shared" si="53"/>
        <v>8</v>
      </c>
      <c r="U435">
        <v>4.5</v>
      </c>
      <c r="V435" t="b">
        <f t="shared" si="55"/>
        <v>1</v>
      </c>
    </row>
    <row r="436" spans="1:22" x14ac:dyDescent="0.25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2.8</v>
      </c>
      <c r="G436" t="s">
        <v>16</v>
      </c>
      <c r="H436" t="s">
        <v>23</v>
      </c>
      <c r="I436">
        <v>9</v>
      </c>
      <c r="J436">
        <v>8</v>
      </c>
      <c r="K436" t="s">
        <v>24</v>
      </c>
      <c r="L436">
        <v>2</v>
      </c>
      <c r="M436">
        <v>4</v>
      </c>
      <c r="N436" t="str">
        <f t="shared" si="48"/>
        <v>Instagram</v>
      </c>
      <c r="O436">
        <f t="shared" si="49"/>
        <v>1</v>
      </c>
      <c r="P436" t="str">
        <f t="shared" si="50"/>
        <v>9</v>
      </c>
      <c r="Q436" t="str">
        <f t="shared" si="51"/>
        <v>OK</v>
      </c>
      <c r="R436" t="str">
        <f t="shared" si="54"/>
        <v>medium</v>
      </c>
      <c r="S436" t="str">
        <f t="shared" si="52"/>
        <v>Low</v>
      </c>
      <c r="T436" t="str">
        <f t="shared" si="53"/>
        <v>4</v>
      </c>
      <c r="U436">
        <v>4.5</v>
      </c>
      <c r="V436" t="b">
        <f t="shared" si="55"/>
        <v>1</v>
      </c>
    </row>
    <row r="437" spans="1:22" x14ac:dyDescent="0.25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4.4000000000000004</v>
      </c>
      <c r="G437" t="s">
        <v>26</v>
      </c>
      <c r="H437" t="s">
        <v>17</v>
      </c>
      <c r="I437">
        <v>7.8</v>
      </c>
      <c r="J437">
        <v>6</v>
      </c>
      <c r="K437" t="s">
        <v>24</v>
      </c>
      <c r="L437">
        <v>3</v>
      </c>
      <c r="M437">
        <v>7</v>
      </c>
      <c r="N437" t="str">
        <f t="shared" si="48"/>
        <v>Tiktok</v>
      </c>
      <c r="O437">
        <f t="shared" si="49"/>
        <v>2</v>
      </c>
      <c r="P437" t="str">
        <f t="shared" si="50"/>
        <v>7.8</v>
      </c>
      <c r="Q437" t="str">
        <f t="shared" si="51"/>
        <v>OK</v>
      </c>
      <c r="R437" t="b">
        <f t="shared" si="54"/>
        <v>1</v>
      </c>
      <c r="S437" t="str">
        <f t="shared" si="52"/>
        <v>High</v>
      </c>
      <c r="T437" t="str">
        <f t="shared" si="53"/>
        <v>7</v>
      </c>
      <c r="U437">
        <v>4.5</v>
      </c>
      <c r="V437" t="b">
        <f t="shared" si="55"/>
        <v>1</v>
      </c>
    </row>
    <row r="438" spans="1:22" x14ac:dyDescent="0.25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7.9</v>
      </c>
      <c r="G438" t="s">
        <v>16</v>
      </c>
      <c r="H438" t="s">
        <v>17</v>
      </c>
      <c r="I438">
        <v>4.4000000000000004</v>
      </c>
      <c r="J438">
        <v>5</v>
      </c>
      <c r="K438" t="s">
        <v>18</v>
      </c>
      <c r="L438">
        <v>4</v>
      </c>
      <c r="M438">
        <v>9</v>
      </c>
      <c r="N438" t="str">
        <f t="shared" si="48"/>
        <v>Instagram</v>
      </c>
      <c r="O438">
        <f t="shared" si="49"/>
        <v>1</v>
      </c>
      <c r="P438" t="str">
        <f t="shared" si="50"/>
        <v>4.4</v>
      </c>
      <c r="Q438" t="str">
        <f t="shared" si="51"/>
        <v>LESS SLEEP</v>
      </c>
      <c r="R438" t="b">
        <f t="shared" si="54"/>
        <v>1</v>
      </c>
      <c r="S438" t="str">
        <f t="shared" si="52"/>
        <v>High</v>
      </c>
      <c r="T438" t="str">
        <f t="shared" si="53"/>
        <v>9</v>
      </c>
      <c r="U438">
        <v>4.5</v>
      </c>
      <c r="V438" t="b">
        <f t="shared" si="55"/>
        <v>1</v>
      </c>
    </row>
    <row r="439" spans="1:22" x14ac:dyDescent="0.25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6.7</v>
      </c>
      <c r="G439" t="s">
        <v>143</v>
      </c>
      <c r="H439" t="s">
        <v>17</v>
      </c>
      <c r="I439">
        <v>5.5</v>
      </c>
      <c r="J439">
        <v>6</v>
      </c>
      <c r="K439" t="s">
        <v>24</v>
      </c>
      <c r="L439">
        <v>3</v>
      </c>
      <c r="M439">
        <v>7</v>
      </c>
      <c r="N439" t="str">
        <f t="shared" si="48"/>
        <v>Whatsapp</v>
      </c>
      <c r="O439">
        <f t="shared" si="49"/>
        <v>1</v>
      </c>
      <c r="P439" t="str">
        <f t="shared" si="50"/>
        <v>5.5</v>
      </c>
      <c r="Q439" t="str">
        <f t="shared" si="51"/>
        <v>OK</v>
      </c>
      <c r="R439" t="b">
        <f t="shared" si="54"/>
        <v>1</v>
      </c>
      <c r="S439" t="str">
        <f t="shared" si="52"/>
        <v>High</v>
      </c>
      <c r="T439" t="str">
        <f t="shared" si="53"/>
        <v>7</v>
      </c>
      <c r="U439">
        <v>4.5</v>
      </c>
      <c r="V439" t="b">
        <f t="shared" si="55"/>
        <v>1</v>
      </c>
    </row>
    <row r="440" spans="1:22" x14ac:dyDescent="0.25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3.4</v>
      </c>
      <c r="G440" t="s">
        <v>16</v>
      </c>
      <c r="H440" t="s">
        <v>23</v>
      </c>
      <c r="I440">
        <v>8.6</v>
      </c>
      <c r="J440">
        <v>7</v>
      </c>
      <c r="K440" t="s">
        <v>18</v>
      </c>
      <c r="L440">
        <v>2</v>
      </c>
      <c r="M440">
        <v>5</v>
      </c>
      <c r="N440" t="str">
        <f t="shared" si="48"/>
        <v>Instagram</v>
      </c>
      <c r="O440">
        <f t="shared" si="49"/>
        <v>1</v>
      </c>
      <c r="P440" t="str">
        <f t="shared" si="50"/>
        <v>8.6</v>
      </c>
      <c r="Q440" t="str">
        <f t="shared" si="51"/>
        <v>OK</v>
      </c>
      <c r="R440" t="str">
        <f t="shared" si="54"/>
        <v>medium</v>
      </c>
      <c r="S440" t="str">
        <f t="shared" si="52"/>
        <v>Medium</v>
      </c>
      <c r="T440" t="str">
        <f t="shared" si="53"/>
        <v>5</v>
      </c>
      <c r="U440">
        <v>4.5</v>
      </c>
      <c r="V440" t="b">
        <f t="shared" si="55"/>
        <v>1</v>
      </c>
    </row>
    <row r="441" spans="1:22" x14ac:dyDescent="0.25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4.2</v>
      </c>
      <c r="G441" t="s">
        <v>26</v>
      </c>
      <c r="H441" t="s">
        <v>17</v>
      </c>
      <c r="I441">
        <v>8</v>
      </c>
      <c r="J441">
        <v>6</v>
      </c>
      <c r="K441" t="s">
        <v>24</v>
      </c>
      <c r="L441">
        <v>3</v>
      </c>
      <c r="M441">
        <v>7</v>
      </c>
      <c r="N441" t="str">
        <f t="shared" si="48"/>
        <v>Tiktok</v>
      </c>
      <c r="O441">
        <f t="shared" si="49"/>
        <v>2</v>
      </c>
      <c r="P441" t="str">
        <f t="shared" si="50"/>
        <v>8</v>
      </c>
      <c r="Q441" t="str">
        <f t="shared" si="51"/>
        <v>OK</v>
      </c>
      <c r="R441" t="b">
        <f t="shared" si="54"/>
        <v>1</v>
      </c>
      <c r="S441" t="str">
        <f t="shared" si="52"/>
        <v>High</v>
      </c>
      <c r="T441" t="str">
        <f t="shared" si="53"/>
        <v>7</v>
      </c>
      <c r="U441">
        <v>4.5</v>
      </c>
      <c r="V441" t="b">
        <f t="shared" si="55"/>
        <v>1</v>
      </c>
    </row>
    <row r="442" spans="1:22" x14ac:dyDescent="0.25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4</v>
      </c>
      <c r="G442" t="s">
        <v>16</v>
      </c>
      <c r="H442" t="s">
        <v>17</v>
      </c>
      <c r="I442">
        <v>7.9</v>
      </c>
      <c r="J442">
        <v>6</v>
      </c>
      <c r="K442" t="s">
        <v>24</v>
      </c>
      <c r="L442">
        <v>3</v>
      </c>
      <c r="M442">
        <v>7</v>
      </c>
      <c r="N442" t="str">
        <f t="shared" si="48"/>
        <v>Instagram</v>
      </c>
      <c r="O442">
        <f t="shared" si="49"/>
        <v>1</v>
      </c>
      <c r="P442" t="str">
        <f t="shared" si="50"/>
        <v>7.9</v>
      </c>
      <c r="Q442" t="str">
        <f t="shared" si="51"/>
        <v>OK</v>
      </c>
      <c r="R442" t="b">
        <f t="shared" si="54"/>
        <v>1</v>
      </c>
      <c r="S442" t="str">
        <f t="shared" si="52"/>
        <v>High</v>
      </c>
      <c r="T442" t="str">
        <f t="shared" si="53"/>
        <v>7</v>
      </c>
      <c r="U442">
        <v>4.5</v>
      </c>
      <c r="V442" t="b">
        <f t="shared" si="55"/>
        <v>1</v>
      </c>
    </row>
    <row r="443" spans="1:22" x14ac:dyDescent="0.25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2.8</v>
      </c>
      <c r="G443" t="s">
        <v>32</v>
      </c>
      <c r="H443" t="s">
        <v>23</v>
      </c>
      <c r="I443">
        <v>9</v>
      </c>
      <c r="J443">
        <v>8</v>
      </c>
      <c r="K443" t="s">
        <v>18</v>
      </c>
      <c r="L443">
        <v>2</v>
      </c>
      <c r="M443">
        <v>4</v>
      </c>
      <c r="N443" t="str">
        <f t="shared" si="48"/>
        <v>Facebook</v>
      </c>
      <c r="O443">
        <f t="shared" si="49"/>
        <v>0</v>
      </c>
      <c r="P443" t="str">
        <f t="shared" si="50"/>
        <v>9</v>
      </c>
      <c r="Q443" t="str">
        <f t="shared" si="51"/>
        <v>OK</v>
      </c>
      <c r="R443" t="str">
        <f t="shared" si="54"/>
        <v>medium</v>
      </c>
      <c r="S443" t="str">
        <f t="shared" si="52"/>
        <v>Low</v>
      </c>
      <c r="T443" t="str">
        <f t="shared" si="53"/>
        <v>4</v>
      </c>
      <c r="U443">
        <v>4.5</v>
      </c>
      <c r="V443" t="b">
        <f t="shared" si="55"/>
        <v>1</v>
      </c>
    </row>
    <row r="444" spans="1:22" x14ac:dyDescent="0.25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3.7</v>
      </c>
      <c r="G444" t="s">
        <v>26</v>
      </c>
      <c r="H444" t="s">
        <v>17</v>
      </c>
      <c r="I444">
        <v>8.1999999999999993</v>
      </c>
      <c r="J444">
        <v>7</v>
      </c>
      <c r="K444" t="s">
        <v>24</v>
      </c>
      <c r="L444">
        <v>3</v>
      </c>
      <c r="M444">
        <v>6</v>
      </c>
      <c r="N444" t="str">
        <f t="shared" si="48"/>
        <v>Tiktok</v>
      </c>
      <c r="O444">
        <f t="shared" si="49"/>
        <v>2</v>
      </c>
      <c r="P444" t="str">
        <f t="shared" si="50"/>
        <v>8.2</v>
      </c>
      <c r="Q444" t="str">
        <f t="shared" si="51"/>
        <v>OK</v>
      </c>
      <c r="R444" t="str">
        <f t="shared" si="54"/>
        <v>medium</v>
      </c>
      <c r="S444" t="str">
        <f t="shared" si="52"/>
        <v>Medium</v>
      </c>
      <c r="T444" t="str">
        <f t="shared" si="53"/>
        <v>6</v>
      </c>
      <c r="U444">
        <v>4.5</v>
      </c>
      <c r="V444" t="b">
        <f t="shared" si="55"/>
        <v>1</v>
      </c>
    </row>
    <row r="445" spans="1:22" x14ac:dyDescent="0.25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7</v>
      </c>
      <c r="G445" t="s">
        <v>143</v>
      </c>
      <c r="H445" t="s">
        <v>17</v>
      </c>
      <c r="I445">
        <v>5.3</v>
      </c>
      <c r="J445">
        <v>5</v>
      </c>
      <c r="K445" t="s">
        <v>18</v>
      </c>
      <c r="L445">
        <v>4</v>
      </c>
      <c r="M445">
        <v>8</v>
      </c>
      <c r="N445" t="str">
        <f t="shared" si="48"/>
        <v>Whatsapp</v>
      </c>
      <c r="O445">
        <f t="shared" si="49"/>
        <v>1</v>
      </c>
      <c r="P445" t="str">
        <f t="shared" si="50"/>
        <v>5.3</v>
      </c>
      <c r="Q445" t="str">
        <f t="shared" si="51"/>
        <v>OK</v>
      </c>
      <c r="R445" t="b">
        <f t="shared" si="54"/>
        <v>1</v>
      </c>
      <c r="S445" t="str">
        <f t="shared" si="52"/>
        <v>High</v>
      </c>
      <c r="T445" t="str">
        <f t="shared" si="53"/>
        <v>8</v>
      </c>
      <c r="U445">
        <v>4.5</v>
      </c>
      <c r="V445" t="b">
        <f t="shared" si="55"/>
        <v>1</v>
      </c>
    </row>
    <row r="446" spans="1:22" x14ac:dyDescent="0.25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2.7</v>
      </c>
      <c r="G446" t="s">
        <v>16</v>
      </c>
      <c r="H446" t="s">
        <v>23</v>
      </c>
      <c r="I446">
        <v>9.1</v>
      </c>
      <c r="J446">
        <v>8</v>
      </c>
      <c r="K446" t="s">
        <v>24</v>
      </c>
      <c r="L446">
        <v>2</v>
      </c>
      <c r="M446">
        <v>4</v>
      </c>
      <c r="N446" t="str">
        <f t="shared" si="48"/>
        <v>Instagram</v>
      </c>
      <c r="O446">
        <f t="shared" si="49"/>
        <v>1</v>
      </c>
      <c r="P446" t="str">
        <f t="shared" si="50"/>
        <v>9.1</v>
      </c>
      <c r="Q446" t="str">
        <f t="shared" si="51"/>
        <v>OK</v>
      </c>
      <c r="R446" t="str">
        <f t="shared" si="54"/>
        <v>medium</v>
      </c>
      <c r="S446" t="str">
        <f t="shared" si="52"/>
        <v>Low</v>
      </c>
      <c r="T446" t="str">
        <f t="shared" si="53"/>
        <v>4</v>
      </c>
      <c r="U446">
        <v>4.5</v>
      </c>
      <c r="V446" t="b">
        <f t="shared" si="55"/>
        <v>1</v>
      </c>
    </row>
    <row r="447" spans="1:22" x14ac:dyDescent="0.25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4.3</v>
      </c>
      <c r="G447" t="s">
        <v>16</v>
      </c>
      <c r="H447" t="s">
        <v>17</v>
      </c>
      <c r="I447">
        <v>7.9</v>
      </c>
      <c r="J447">
        <v>6</v>
      </c>
      <c r="K447" t="s">
        <v>24</v>
      </c>
      <c r="L447">
        <v>3</v>
      </c>
      <c r="M447">
        <v>7</v>
      </c>
      <c r="N447" t="str">
        <f t="shared" si="48"/>
        <v>Instagram</v>
      </c>
      <c r="O447">
        <f t="shared" si="49"/>
        <v>1</v>
      </c>
      <c r="P447" t="str">
        <f t="shared" si="50"/>
        <v>7.9</v>
      </c>
      <c r="Q447" t="str">
        <f t="shared" si="51"/>
        <v>OK</v>
      </c>
      <c r="R447" t="b">
        <f t="shared" si="54"/>
        <v>1</v>
      </c>
      <c r="S447" t="str">
        <f t="shared" si="52"/>
        <v>High</v>
      </c>
      <c r="T447" t="str">
        <f t="shared" si="53"/>
        <v>7</v>
      </c>
      <c r="U447">
        <v>4.5</v>
      </c>
      <c r="V447" t="b">
        <f t="shared" si="55"/>
        <v>1</v>
      </c>
    </row>
    <row r="448" spans="1:22" x14ac:dyDescent="0.25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8</v>
      </c>
      <c r="G448" t="s">
        <v>26</v>
      </c>
      <c r="H448" t="s">
        <v>17</v>
      </c>
      <c r="I448">
        <v>4.3</v>
      </c>
      <c r="J448">
        <v>5</v>
      </c>
      <c r="K448" t="s">
        <v>18</v>
      </c>
      <c r="L448">
        <v>4</v>
      </c>
      <c r="M448">
        <v>9</v>
      </c>
      <c r="N448" t="str">
        <f t="shared" si="48"/>
        <v>Tiktok</v>
      </c>
      <c r="O448">
        <f t="shared" si="49"/>
        <v>2</v>
      </c>
      <c r="P448" t="str">
        <f t="shared" si="50"/>
        <v>4.3</v>
      </c>
      <c r="Q448" t="str">
        <f t="shared" si="51"/>
        <v>LESS SLEEP</v>
      </c>
      <c r="R448" t="b">
        <f t="shared" si="54"/>
        <v>1</v>
      </c>
      <c r="S448" t="str">
        <f t="shared" si="52"/>
        <v>High</v>
      </c>
      <c r="T448" t="str">
        <f t="shared" si="53"/>
        <v>9</v>
      </c>
      <c r="U448">
        <v>4.4000000000000004</v>
      </c>
      <c r="V448" t="b">
        <f t="shared" si="55"/>
        <v>1</v>
      </c>
    </row>
    <row r="449" spans="1:22" x14ac:dyDescent="0.25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6.8</v>
      </c>
      <c r="G449" t="s">
        <v>143</v>
      </c>
      <c r="H449" t="s">
        <v>17</v>
      </c>
      <c r="I449">
        <v>5.4</v>
      </c>
      <c r="J449">
        <v>6</v>
      </c>
      <c r="K449" t="s">
        <v>24</v>
      </c>
      <c r="L449">
        <v>3</v>
      </c>
      <c r="M449">
        <v>7</v>
      </c>
      <c r="N449" t="str">
        <f t="shared" si="48"/>
        <v>Whatsapp</v>
      </c>
      <c r="O449">
        <f t="shared" si="49"/>
        <v>1</v>
      </c>
      <c r="P449" t="str">
        <f t="shared" si="50"/>
        <v>5.4</v>
      </c>
      <c r="Q449" t="str">
        <f t="shared" si="51"/>
        <v>OK</v>
      </c>
      <c r="R449" t="b">
        <f t="shared" si="54"/>
        <v>1</v>
      </c>
      <c r="S449" t="str">
        <f t="shared" si="52"/>
        <v>High</v>
      </c>
      <c r="T449" t="str">
        <f t="shared" si="53"/>
        <v>7</v>
      </c>
      <c r="U449">
        <v>4.4000000000000004</v>
      </c>
      <c r="V449" t="b">
        <f t="shared" si="55"/>
        <v>1</v>
      </c>
    </row>
    <row r="450" spans="1:22" x14ac:dyDescent="0.25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3.3</v>
      </c>
      <c r="G450" t="s">
        <v>16</v>
      </c>
      <c r="H450" t="s">
        <v>23</v>
      </c>
      <c r="I450">
        <v>8.6999999999999993</v>
      </c>
      <c r="J450">
        <v>7</v>
      </c>
      <c r="K450" t="s">
        <v>18</v>
      </c>
      <c r="L450">
        <v>2</v>
      </c>
      <c r="M450">
        <v>5</v>
      </c>
      <c r="N450" t="str">
        <f t="shared" ref="N450:N513" si="56">PROPER(G450)</f>
        <v>Instagram</v>
      </c>
      <c r="O450">
        <f t="shared" ref="O450:O513" si="57">LEN(G450)-LEN(SUBSTITUTE(UPPER(G450),"T",""))</f>
        <v>1</v>
      </c>
      <c r="P450" t="str">
        <f t="shared" ref="P450:P513" si="58">PROPER(I450)</f>
        <v>8.7</v>
      </c>
      <c r="Q450" t="str">
        <f t="shared" ref="Q450:Q513" si="59">(IF(I450&gt;=5,"OK",IF(I450&lt;5,"LESS SLEEP")))</f>
        <v>OK</v>
      </c>
      <c r="R450" t="str">
        <f t="shared" si="54"/>
        <v>medium</v>
      </c>
      <c r="S450" t="str">
        <f t="shared" ref="S450:S513" si="60">IF(M450&gt;=7,"High",IF(AND(M450&gt;4,M450&lt;7),"Medium","Low"))</f>
        <v>Medium</v>
      </c>
      <c r="T450" t="str">
        <f t="shared" ref="T450:T513" si="61">PROPER(M450)</f>
        <v>5</v>
      </c>
      <c r="U450">
        <v>4.4000000000000004</v>
      </c>
      <c r="V450" t="b">
        <f t="shared" si="55"/>
        <v>1</v>
      </c>
    </row>
    <row r="451" spans="1:22" x14ac:dyDescent="0.25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4.0999999999999996</v>
      </c>
      <c r="G451" t="s">
        <v>16</v>
      </c>
      <c r="H451" t="s">
        <v>17</v>
      </c>
      <c r="I451">
        <v>8.1</v>
      </c>
      <c r="J451">
        <v>6</v>
      </c>
      <c r="K451" t="s">
        <v>24</v>
      </c>
      <c r="L451">
        <v>3</v>
      </c>
      <c r="M451">
        <v>7</v>
      </c>
      <c r="N451" t="str">
        <f t="shared" si="56"/>
        <v>Instagram</v>
      </c>
      <c r="O451">
        <f t="shared" si="57"/>
        <v>1</v>
      </c>
      <c r="P451" t="str">
        <f t="shared" si="58"/>
        <v>8.1</v>
      </c>
      <c r="Q451" t="str">
        <f t="shared" si="59"/>
        <v>OK</v>
      </c>
      <c r="R451" t="b">
        <f t="shared" si="54"/>
        <v>1</v>
      </c>
      <c r="S451" t="str">
        <f t="shared" si="60"/>
        <v>High</v>
      </c>
      <c r="T451" t="str">
        <f t="shared" si="61"/>
        <v>7</v>
      </c>
      <c r="U451">
        <v>4.4000000000000004</v>
      </c>
      <c r="V451" t="b">
        <f t="shared" si="55"/>
        <v>1</v>
      </c>
    </row>
    <row r="452" spans="1:22" x14ac:dyDescent="0.25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3.9</v>
      </c>
      <c r="G452" t="s">
        <v>26</v>
      </c>
      <c r="H452" t="s">
        <v>17</v>
      </c>
      <c r="I452">
        <v>8</v>
      </c>
      <c r="J452">
        <v>6</v>
      </c>
      <c r="K452" t="s">
        <v>24</v>
      </c>
      <c r="L452">
        <v>3</v>
      </c>
      <c r="M452">
        <v>7</v>
      </c>
      <c r="N452" t="str">
        <f t="shared" si="56"/>
        <v>Tiktok</v>
      </c>
      <c r="O452">
        <f t="shared" si="57"/>
        <v>2</v>
      </c>
      <c r="P452" t="str">
        <f t="shared" si="58"/>
        <v>8</v>
      </c>
      <c r="Q452" t="str">
        <f t="shared" si="59"/>
        <v>OK</v>
      </c>
      <c r="R452" t="b">
        <f t="shared" ref="R452:R515" si="62">IF(M452&gt;=7,"High"&amp;M452&gt;=4,"medium")</f>
        <v>1</v>
      </c>
      <c r="S452" t="str">
        <f t="shared" si="60"/>
        <v>High</v>
      </c>
      <c r="T452" t="str">
        <f t="shared" si="61"/>
        <v>7</v>
      </c>
      <c r="U452">
        <v>4.4000000000000004</v>
      </c>
      <c r="V452" t="b">
        <f t="shared" ref="V452:V515" si="63">IF(Q452&gt;=7,"High"&amp;Q452&gt;=4,"medium")</f>
        <v>1</v>
      </c>
    </row>
    <row r="453" spans="1:22" x14ac:dyDescent="0.25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2.7</v>
      </c>
      <c r="G453" t="s">
        <v>32</v>
      </c>
      <c r="H453" t="s">
        <v>23</v>
      </c>
      <c r="I453">
        <v>9.1</v>
      </c>
      <c r="J453">
        <v>8</v>
      </c>
      <c r="K453" t="s">
        <v>18</v>
      </c>
      <c r="L453">
        <v>2</v>
      </c>
      <c r="M453">
        <v>4</v>
      </c>
      <c r="N453" t="str">
        <f t="shared" si="56"/>
        <v>Facebook</v>
      </c>
      <c r="O453">
        <f t="shared" si="57"/>
        <v>0</v>
      </c>
      <c r="P453" t="str">
        <f t="shared" si="58"/>
        <v>9.1</v>
      </c>
      <c r="Q453" t="str">
        <f t="shared" si="59"/>
        <v>OK</v>
      </c>
      <c r="R453" t="str">
        <f t="shared" si="62"/>
        <v>medium</v>
      </c>
      <c r="S453" t="str">
        <f t="shared" si="60"/>
        <v>Low</v>
      </c>
      <c r="T453" t="str">
        <f t="shared" si="61"/>
        <v>4</v>
      </c>
      <c r="U453">
        <v>4.4000000000000004</v>
      </c>
      <c r="V453" t="b">
        <f t="shared" si="63"/>
        <v>1</v>
      </c>
    </row>
    <row r="454" spans="1:22" x14ac:dyDescent="0.25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3.6</v>
      </c>
      <c r="G454" t="s">
        <v>16</v>
      </c>
      <c r="H454" t="s">
        <v>17</v>
      </c>
      <c r="I454">
        <v>8.3000000000000007</v>
      </c>
      <c r="J454">
        <v>7</v>
      </c>
      <c r="K454" t="s">
        <v>24</v>
      </c>
      <c r="L454">
        <v>3</v>
      </c>
      <c r="M454">
        <v>6</v>
      </c>
      <c r="N454" t="str">
        <f t="shared" si="56"/>
        <v>Instagram</v>
      </c>
      <c r="O454">
        <f t="shared" si="57"/>
        <v>1</v>
      </c>
      <c r="P454" t="str">
        <f t="shared" si="58"/>
        <v>8.3</v>
      </c>
      <c r="Q454" t="str">
        <f t="shared" si="59"/>
        <v>OK</v>
      </c>
      <c r="R454" t="str">
        <f t="shared" si="62"/>
        <v>medium</v>
      </c>
      <c r="S454" t="str">
        <f t="shared" si="60"/>
        <v>Medium</v>
      </c>
      <c r="T454" t="str">
        <f t="shared" si="61"/>
        <v>6</v>
      </c>
      <c r="U454">
        <v>4.4000000000000004</v>
      </c>
      <c r="V454" t="b">
        <f t="shared" si="63"/>
        <v>1</v>
      </c>
    </row>
    <row r="455" spans="1:22" x14ac:dyDescent="0.25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7.1</v>
      </c>
      <c r="G455" t="s">
        <v>143</v>
      </c>
      <c r="H455" t="s">
        <v>17</v>
      </c>
      <c r="I455">
        <v>5.2</v>
      </c>
      <c r="J455">
        <v>5</v>
      </c>
      <c r="K455" t="s">
        <v>18</v>
      </c>
      <c r="L455">
        <v>4</v>
      </c>
      <c r="M455">
        <v>8</v>
      </c>
      <c r="N455" t="str">
        <f t="shared" si="56"/>
        <v>Whatsapp</v>
      </c>
      <c r="O455">
        <f t="shared" si="57"/>
        <v>1</v>
      </c>
      <c r="P455" t="str">
        <f t="shared" si="58"/>
        <v>5.2</v>
      </c>
      <c r="Q455" t="str">
        <f t="shared" si="59"/>
        <v>OK</v>
      </c>
      <c r="R455" t="b">
        <f t="shared" si="62"/>
        <v>1</v>
      </c>
      <c r="S455" t="str">
        <f t="shared" si="60"/>
        <v>High</v>
      </c>
      <c r="T455" t="str">
        <f t="shared" si="61"/>
        <v>8</v>
      </c>
      <c r="U455">
        <v>4.4000000000000004</v>
      </c>
      <c r="V455" t="b">
        <f t="shared" si="63"/>
        <v>1</v>
      </c>
    </row>
    <row r="456" spans="1:22" x14ac:dyDescent="0.25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2.6</v>
      </c>
      <c r="G456" t="s">
        <v>16</v>
      </c>
      <c r="H456" t="s">
        <v>23</v>
      </c>
      <c r="I456">
        <v>9.1999999999999993</v>
      </c>
      <c r="J456">
        <v>8</v>
      </c>
      <c r="K456" t="s">
        <v>24</v>
      </c>
      <c r="L456">
        <v>2</v>
      </c>
      <c r="M456">
        <v>4</v>
      </c>
      <c r="N456" t="str">
        <f t="shared" si="56"/>
        <v>Instagram</v>
      </c>
      <c r="O456">
        <f t="shared" si="57"/>
        <v>1</v>
      </c>
      <c r="P456" t="str">
        <f t="shared" si="58"/>
        <v>9.2</v>
      </c>
      <c r="Q456" t="str">
        <f t="shared" si="59"/>
        <v>OK</v>
      </c>
      <c r="R456" t="str">
        <f t="shared" si="62"/>
        <v>medium</v>
      </c>
      <c r="S456" t="str">
        <f t="shared" si="60"/>
        <v>Low</v>
      </c>
      <c r="T456" t="str">
        <f t="shared" si="61"/>
        <v>4</v>
      </c>
      <c r="U456">
        <v>4.4000000000000004</v>
      </c>
      <c r="V456" t="b">
        <f t="shared" si="63"/>
        <v>1</v>
      </c>
    </row>
    <row r="457" spans="1:22" x14ac:dyDescent="0.25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4.2</v>
      </c>
      <c r="G457" t="s">
        <v>26</v>
      </c>
      <c r="H457" t="s">
        <v>17</v>
      </c>
      <c r="I457">
        <v>8</v>
      </c>
      <c r="J457">
        <v>6</v>
      </c>
      <c r="K457" t="s">
        <v>24</v>
      </c>
      <c r="L457">
        <v>3</v>
      </c>
      <c r="M457">
        <v>7</v>
      </c>
      <c r="N457" t="str">
        <f t="shared" si="56"/>
        <v>Tiktok</v>
      </c>
      <c r="O457">
        <f t="shared" si="57"/>
        <v>2</v>
      </c>
      <c r="P457" t="str">
        <f t="shared" si="58"/>
        <v>8</v>
      </c>
      <c r="Q457" t="str">
        <f t="shared" si="59"/>
        <v>OK</v>
      </c>
      <c r="R457" t="b">
        <f t="shared" si="62"/>
        <v>1</v>
      </c>
      <c r="S457" t="str">
        <f t="shared" si="60"/>
        <v>High</v>
      </c>
      <c r="T457" t="str">
        <f t="shared" si="61"/>
        <v>7</v>
      </c>
      <c r="U457">
        <v>4.4000000000000004</v>
      </c>
      <c r="V457" t="b">
        <f t="shared" si="63"/>
        <v>1</v>
      </c>
    </row>
    <row r="458" spans="1:22" x14ac:dyDescent="0.25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8.1</v>
      </c>
      <c r="G458" t="s">
        <v>16</v>
      </c>
      <c r="H458" t="s">
        <v>17</v>
      </c>
      <c r="I458">
        <v>4.2</v>
      </c>
      <c r="J458">
        <v>5</v>
      </c>
      <c r="K458" t="s">
        <v>18</v>
      </c>
      <c r="L458">
        <v>4</v>
      </c>
      <c r="M458">
        <v>9</v>
      </c>
      <c r="N458" t="str">
        <f t="shared" si="56"/>
        <v>Instagram</v>
      </c>
      <c r="O458">
        <f t="shared" si="57"/>
        <v>1</v>
      </c>
      <c r="P458" t="str">
        <f t="shared" si="58"/>
        <v>4.2</v>
      </c>
      <c r="Q458" t="str">
        <f t="shared" si="59"/>
        <v>LESS SLEEP</v>
      </c>
      <c r="R458" t="b">
        <f t="shared" si="62"/>
        <v>1</v>
      </c>
      <c r="S458" t="str">
        <f t="shared" si="60"/>
        <v>High</v>
      </c>
      <c r="T458" t="str">
        <f t="shared" si="61"/>
        <v>9</v>
      </c>
      <c r="U458">
        <v>4.4000000000000004</v>
      </c>
      <c r="V458" t="b">
        <f t="shared" si="63"/>
        <v>1</v>
      </c>
    </row>
    <row r="459" spans="1:22" x14ac:dyDescent="0.25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6.9</v>
      </c>
      <c r="G459" t="s">
        <v>143</v>
      </c>
      <c r="H459" t="s">
        <v>17</v>
      </c>
      <c r="I459">
        <v>5.3</v>
      </c>
      <c r="J459">
        <v>6</v>
      </c>
      <c r="K459" t="s">
        <v>24</v>
      </c>
      <c r="L459">
        <v>3</v>
      </c>
      <c r="M459">
        <v>7</v>
      </c>
      <c r="N459" t="str">
        <f t="shared" si="56"/>
        <v>Whatsapp</v>
      </c>
      <c r="O459">
        <f t="shared" si="57"/>
        <v>1</v>
      </c>
      <c r="P459" t="str">
        <f t="shared" si="58"/>
        <v>5.3</v>
      </c>
      <c r="Q459" t="str">
        <f t="shared" si="59"/>
        <v>OK</v>
      </c>
      <c r="R459" t="b">
        <f t="shared" si="62"/>
        <v>1</v>
      </c>
      <c r="S459" t="str">
        <f t="shared" si="60"/>
        <v>High</v>
      </c>
      <c r="T459" t="str">
        <f t="shared" si="61"/>
        <v>7</v>
      </c>
      <c r="U459">
        <v>4.4000000000000004</v>
      </c>
      <c r="V459" t="b">
        <f t="shared" si="63"/>
        <v>1</v>
      </c>
    </row>
    <row r="460" spans="1:22" x14ac:dyDescent="0.25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3.2</v>
      </c>
      <c r="G460" t="s">
        <v>16</v>
      </c>
      <c r="H460" t="s">
        <v>23</v>
      </c>
      <c r="I460">
        <v>8.8000000000000007</v>
      </c>
      <c r="J460">
        <v>7</v>
      </c>
      <c r="K460" t="s">
        <v>18</v>
      </c>
      <c r="L460">
        <v>2</v>
      </c>
      <c r="M460">
        <v>5</v>
      </c>
      <c r="N460" t="str">
        <f t="shared" si="56"/>
        <v>Instagram</v>
      </c>
      <c r="O460">
        <f t="shared" si="57"/>
        <v>1</v>
      </c>
      <c r="P460" t="str">
        <f t="shared" si="58"/>
        <v>8.8</v>
      </c>
      <c r="Q460" t="str">
        <f t="shared" si="59"/>
        <v>OK</v>
      </c>
      <c r="R460" t="str">
        <f t="shared" si="62"/>
        <v>medium</v>
      </c>
      <c r="S460" t="str">
        <f t="shared" si="60"/>
        <v>Medium</v>
      </c>
      <c r="T460" t="str">
        <f t="shared" si="61"/>
        <v>5</v>
      </c>
      <c r="U460">
        <v>4.4000000000000004</v>
      </c>
      <c r="V460" t="b">
        <f t="shared" si="63"/>
        <v>1</v>
      </c>
    </row>
    <row r="461" spans="1:22" x14ac:dyDescent="0.25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4</v>
      </c>
      <c r="G461" t="s">
        <v>26</v>
      </c>
      <c r="H461" t="s">
        <v>17</v>
      </c>
      <c r="I461">
        <v>8.1999999999999993</v>
      </c>
      <c r="J461">
        <v>6</v>
      </c>
      <c r="K461" t="s">
        <v>24</v>
      </c>
      <c r="L461">
        <v>3</v>
      </c>
      <c r="M461">
        <v>7</v>
      </c>
      <c r="N461" t="str">
        <f t="shared" si="56"/>
        <v>Tiktok</v>
      </c>
      <c r="O461">
        <f t="shared" si="57"/>
        <v>2</v>
      </c>
      <c r="P461" t="str">
        <f t="shared" si="58"/>
        <v>8.2</v>
      </c>
      <c r="Q461" t="str">
        <f t="shared" si="59"/>
        <v>OK</v>
      </c>
      <c r="R461" t="b">
        <f t="shared" si="62"/>
        <v>1</v>
      </c>
      <c r="S461" t="str">
        <f t="shared" si="60"/>
        <v>High</v>
      </c>
      <c r="T461" t="str">
        <f t="shared" si="61"/>
        <v>7</v>
      </c>
      <c r="U461">
        <v>4.4000000000000004</v>
      </c>
      <c r="V461" t="b">
        <f t="shared" si="63"/>
        <v>1</v>
      </c>
    </row>
    <row r="462" spans="1:22" x14ac:dyDescent="0.25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3.8</v>
      </c>
      <c r="G462" t="s">
        <v>16</v>
      </c>
      <c r="H462" t="s">
        <v>17</v>
      </c>
      <c r="I462">
        <v>8.1</v>
      </c>
      <c r="J462">
        <v>6</v>
      </c>
      <c r="K462" t="s">
        <v>24</v>
      </c>
      <c r="L462">
        <v>3</v>
      </c>
      <c r="M462">
        <v>7</v>
      </c>
      <c r="N462" t="str">
        <f t="shared" si="56"/>
        <v>Instagram</v>
      </c>
      <c r="O462">
        <f t="shared" si="57"/>
        <v>1</v>
      </c>
      <c r="P462" t="str">
        <f t="shared" si="58"/>
        <v>8.1</v>
      </c>
      <c r="Q462" t="str">
        <f t="shared" si="59"/>
        <v>OK</v>
      </c>
      <c r="R462" t="b">
        <f t="shared" si="62"/>
        <v>1</v>
      </c>
      <c r="S462" t="str">
        <f t="shared" si="60"/>
        <v>High</v>
      </c>
      <c r="T462" t="str">
        <f t="shared" si="61"/>
        <v>7</v>
      </c>
      <c r="U462">
        <v>4.4000000000000004</v>
      </c>
      <c r="V462" t="b">
        <f t="shared" si="63"/>
        <v>1</v>
      </c>
    </row>
    <row r="463" spans="1:22" x14ac:dyDescent="0.25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2.6</v>
      </c>
      <c r="G463" t="s">
        <v>32</v>
      </c>
      <c r="H463" t="s">
        <v>23</v>
      </c>
      <c r="I463">
        <v>9.1999999999999993</v>
      </c>
      <c r="J463">
        <v>8</v>
      </c>
      <c r="K463" t="s">
        <v>18</v>
      </c>
      <c r="L463">
        <v>2</v>
      </c>
      <c r="M463">
        <v>4</v>
      </c>
      <c r="N463" t="str">
        <f t="shared" si="56"/>
        <v>Facebook</v>
      </c>
      <c r="O463">
        <f t="shared" si="57"/>
        <v>0</v>
      </c>
      <c r="P463" t="str">
        <f t="shared" si="58"/>
        <v>9.2</v>
      </c>
      <c r="Q463" t="str">
        <f t="shared" si="59"/>
        <v>OK</v>
      </c>
      <c r="R463" t="str">
        <f t="shared" si="62"/>
        <v>medium</v>
      </c>
      <c r="S463" t="str">
        <f t="shared" si="60"/>
        <v>Low</v>
      </c>
      <c r="T463" t="str">
        <f t="shared" si="61"/>
        <v>4</v>
      </c>
      <c r="U463">
        <v>4.4000000000000004</v>
      </c>
      <c r="V463" t="b">
        <f t="shared" si="63"/>
        <v>1</v>
      </c>
    </row>
    <row r="464" spans="1:22" x14ac:dyDescent="0.25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3.5</v>
      </c>
      <c r="G464" t="s">
        <v>26</v>
      </c>
      <c r="H464" t="s">
        <v>17</v>
      </c>
      <c r="I464">
        <v>8.4</v>
      </c>
      <c r="J464">
        <v>7</v>
      </c>
      <c r="K464" t="s">
        <v>24</v>
      </c>
      <c r="L464">
        <v>3</v>
      </c>
      <c r="M464">
        <v>6</v>
      </c>
      <c r="N464" t="str">
        <f t="shared" si="56"/>
        <v>Tiktok</v>
      </c>
      <c r="O464">
        <f t="shared" si="57"/>
        <v>2</v>
      </c>
      <c r="P464" t="str">
        <f t="shared" si="58"/>
        <v>8.4</v>
      </c>
      <c r="Q464" t="str">
        <f t="shared" si="59"/>
        <v>OK</v>
      </c>
      <c r="R464" t="str">
        <f t="shared" si="62"/>
        <v>medium</v>
      </c>
      <c r="S464" t="str">
        <f t="shared" si="60"/>
        <v>Medium</v>
      </c>
      <c r="T464" t="str">
        <f t="shared" si="61"/>
        <v>6</v>
      </c>
      <c r="U464">
        <v>4.4000000000000004</v>
      </c>
      <c r="V464" t="b">
        <f t="shared" si="63"/>
        <v>1</v>
      </c>
    </row>
    <row r="465" spans="1:22" x14ac:dyDescent="0.25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7.2</v>
      </c>
      <c r="G465" t="s">
        <v>143</v>
      </c>
      <c r="H465" t="s">
        <v>17</v>
      </c>
      <c r="I465">
        <v>5.0999999999999996</v>
      </c>
      <c r="J465">
        <v>5</v>
      </c>
      <c r="K465" t="s">
        <v>18</v>
      </c>
      <c r="L465">
        <v>4</v>
      </c>
      <c r="M465">
        <v>8</v>
      </c>
      <c r="N465" t="str">
        <f t="shared" si="56"/>
        <v>Whatsapp</v>
      </c>
      <c r="O465">
        <f t="shared" si="57"/>
        <v>1</v>
      </c>
      <c r="P465" t="str">
        <f t="shared" si="58"/>
        <v>5.1</v>
      </c>
      <c r="Q465" t="str">
        <f t="shared" si="59"/>
        <v>OK</v>
      </c>
      <c r="R465" t="b">
        <f t="shared" si="62"/>
        <v>1</v>
      </c>
      <c r="S465" t="str">
        <f t="shared" si="60"/>
        <v>High</v>
      </c>
      <c r="T465" t="str">
        <f t="shared" si="61"/>
        <v>8</v>
      </c>
      <c r="U465">
        <v>4.4000000000000004</v>
      </c>
      <c r="V465" t="b">
        <f t="shared" si="63"/>
        <v>1</v>
      </c>
    </row>
    <row r="466" spans="1:22" x14ac:dyDescent="0.25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2.5</v>
      </c>
      <c r="G466" t="s">
        <v>16</v>
      </c>
      <c r="H466" t="s">
        <v>23</v>
      </c>
      <c r="I466">
        <v>9.3000000000000007</v>
      </c>
      <c r="J466">
        <v>8</v>
      </c>
      <c r="K466" t="s">
        <v>24</v>
      </c>
      <c r="L466">
        <v>2</v>
      </c>
      <c r="M466">
        <v>4</v>
      </c>
      <c r="N466" t="str">
        <f t="shared" si="56"/>
        <v>Instagram</v>
      </c>
      <c r="O466">
        <f t="shared" si="57"/>
        <v>1</v>
      </c>
      <c r="P466" t="str">
        <f t="shared" si="58"/>
        <v>9.3</v>
      </c>
      <c r="Q466" t="str">
        <f t="shared" si="59"/>
        <v>OK</v>
      </c>
      <c r="R466" t="str">
        <f t="shared" si="62"/>
        <v>medium</v>
      </c>
      <c r="S466" t="str">
        <f t="shared" si="60"/>
        <v>Low</v>
      </c>
      <c r="T466" t="str">
        <f t="shared" si="61"/>
        <v>4</v>
      </c>
      <c r="U466">
        <v>4.4000000000000004</v>
      </c>
      <c r="V466" t="b">
        <f t="shared" si="63"/>
        <v>1</v>
      </c>
    </row>
    <row r="467" spans="1:22" x14ac:dyDescent="0.25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4.0999999999999996</v>
      </c>
      <c r="G467" t="s">
        <v>16</v>
      </c>
      <c r="H467" t="s">
        <v>17</v>
      </c>
      <c r="I467">
        <v>8.1</v>
      </c>
      <c r="J467">
        <v>6</v>
      </c>
      <c r="K467" t="s">
        <v>24</v>
      </c>
      <c r="L467">
        <v>3</v>
      </c>
      <c r="M467">
        <v>7</v>
      </c>
      <c r="N467" t="str">
        <f t="shared" si="56"/>
        <v>Instagram</v>
      </c>
      <c r="O467">
        <f t="shared" si="57"/>
        <v>1</v>
      </c>
      <c r="P467" t="str">
        <f t="shared" si="58"/>
        <v>8.1</v>
      </c>
      <c r="Q467" t="str">
        <f t="shared" si="59"/>
        <v>OK</v>
      </c>
      <c r="R467" t="b">
        <f t="shared" si="62"/>
        <v>1</v>
      </c>
      <c r="S467" t="str">
        <f t="shared" si="60"/>
        <v>High</v>
      </c>
      <c r="T467" t="str">
        <f t="shared" si="61"/>
        <v>7</v>
      </c>
      <c r="U467">
        <v>4.4000000000000004</v>
      </c>
      <c r="V467" t="b">
        <f t="shared" si="63"/>
        <v>1</v>
      </c>
    </row>
    <row r="468" spans="1:22" x14ac:dyDescent="0.25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8.1999999999999993</v>
      </c>
      <c r="G468" t="s">
        <v>26</v>
      </c>
      <c r="H468" t="s">
        <v>17</v>
      </c>
      <c r="I468">
        <v>4.0999999999999996</v>
      </c>
      <c r="J468">
        <v>5</v>
      </c>
      <c r="K468" t="s">
        <v>18</v>
      </c>
      <c r="L468">
        <v>4</v>
      </c>
      <c r="M468">
        <v>9</v>
      </c>
      <c r="N468" t="str">
        <f t="shared" si="56"/>
        <v>Tiktok</v>
      </c>
      <c r="O468">
        <f t="shared" si="57"/>
        <v>2</v>
      </c>
      <c r="P468" t="str">
        <f t="shared" si="58"/>
        <v>4.1</v>
      </c>
      <c r="Q468" t="str">
        <f t="shared" si="59"/>
        <v>LESS SLEEP</v>
      </c>
      <c r="R468" t="b">
        <f t="shared" si="62"/>
        <v>1</v>
      </c>
      <c r="S468" t="str">
        <f t="shared" si="60"/>
        <v>High</v>
      </c>
      <c r="T468" t="str">
        <f t="shared" si="61"/>
        <v>9</v>
      </c>
      <c r="U468">
        <v>4.4000000000000004</v>
      </c>
      <c r="V468" t="b">
        <f t="shared" si="63"/>
        <v>1</v>
      </c>
    </row>
    <row r="469" spans="1:22" x14ac:dyDescent="0.25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7</v>
      </c>
      <c r="G469" t="s">
        <v>143</v>
      </c>
      <c r="H469" t="s">
        <v>17</v>
      </c>
      <c r="I469">
        <v>5.2</v>
      </c>
      <c r="J469">
        <v>6</v>
      </c>
      <c r="K469" t="s">
        <v>24</v>
      </c>
      <c r="L469">
        <v>3</v>
      </c>
      <c r="M469">
        <v>7</v>
      </c>
      <c r="N469" t="str">
        <f t="shared" si="56"/>
        <v>Whatsapp</v>
      </c>
      <c r="O469">
        <f t="shared" si="57"/>
        <v>1</v>
      </c>
      <c r="P469" t="str">
        <f t="shared" si="58"/>
        <v>5.2</v>
      </c>
      <c r="Q469" t="str">
        <f t="shared" si="59"/>
        <v>OK</v>
      </c>
      <c r="R469" t="b">
        <f t="shared" si="62"/>
        <v>1</v>
      </c>
      <c r="S469" t="str">
        <f t="shared" si="60"/>
        <v>High</v>
      </c>
      <c r="T469" t="str">
        <f t="shared" si="61"/>
        <v>7</v>
      </c>
      <c r="U469">
        <v>4.4000000000000004</v>
      </c>
      <c r="V469" t="b">
        <f t="shared" si="63"/>
        <v>1</v>
      </c>
    </row>
    <row r="470" spans="1:22" x14ac:dyDescent="0.25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3.1</v>
      </c>
      <c r="G470" t="s">
        <v>16</v>
      </c>
      <c r="H470" t="s">
        <v>23</v>
      </c>
      <c r="I470">
        <v>8.9</v>
      </c>
      <c r="J470">
        <v>7</v>
      </c>
      <c r="K470" t="s">
        <v>18</v>
      </c>
      <c r="L470">
        <v>2</v>
      </c>
      <c r="M470">
        <v>5</v>
      </c>
      <c r="N470" t="str">
        <f t="shared" si="56"/>
        <v>Instagram</v>
      </c>
      <c r="O470">
        <f t="shared" si="57"/>
        <v>1</v>
      </c>
      <c r="P470" t="str">
        <f t="shared" si="58"/>
        <v>8.9</v>
      </c>
      <c r="Q470" t="str">
        <f t="shared" si="59"/>
        <v>OK</v>
      </c>
      <c r="R470" t="str">
        <f t="shared" si="62"/>
        <v>medium</v>
      </c>
      <c r="S470" t="str">
        <f t="shared" si="60"/>
        <v>Medium</v>
      </c>
      <c r="T470" t="str">
        <f t="shared" si="61"/>
        <v>5</v>
      </c>
      <c r="U470">
        <v>4.4000000000000004</v>
      </c>
      <c r="V470" t="b">
        <f t="shared" si="63"/>
        <v>1</v>
      </c>
    </row>
    <row r="471" spans="1:22" x14ac:dyDescent="0.25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3.9</v>
      </c>
      <c r="G471" t="s">
        <v>16</v>
      </c>
      <c r="H471" t="s">
        <v>17</v>
      </c>
      <c r="I471">
        <v>8.3000000000000007</v>
      </c>
      <c r="J471">
        <v>6</v>
      </c>
      <c r="K471" t="s">
        <v>24</v>
      </c>
      <c r="L471">
        <v>3</v>
      </c>
      <c r="M471">
        <v>7</v>
      </c>
      <c r="N471" t="str">
        <f t="shared" si="56"/>
        <v>Instagram</v>
      </c>
      <c r="O471">
        <f t="shared" si="57"/>
        <v>1</v>
      </c>
      <c r="P471" t="str">
        <f t="shared" si="58"/>
        <v>8.3</v>
      </c>
      <c r="Q471" t="str">
        <f t="shared" si="59"/>
        <v>OK</v>
      </c>
      <c r="R471" t="b">
        <f t="shared" si="62"/>
        <v>1</v>
      </c>
      <c r="S471" t="str">
        <f t="shared" si="60"/>
        <v>High</v>
      </c>
      <c r="T471" t="str">
        <f t="shared" si="61"/>
        <v>7</v>
      </c>
      <c r="U471">
        <v>4.4000000000000004</v>
      </c>
      <c r="V471" t="b">
        <f t="shared" si="63"/>
        <v>1</v>
      </c>
    </row>
    <row r="472" spans="1:22" x14ac:dyDescent="0.25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3.7</v>
      </c>
      <c r="G472" t="s">
        <v>26</v>
      </c>
      <c r="H472" t="s">
        <v>17</v>
      </c>
      <c r="I472">
        <v>8.1999999999999993</v>
      </c>
      <c r="J472">
        <v>6</v>
      </c>
      <c r="K472" t="s">
        <v>24</v>
      </c>
      <c r="L472">
        <v>3</v>
      </c>
      <c r="M472">
        <v>7</v>
      </c>
      <c r="N472" t="str">
        <f t="shared" si="56"/>
        <v>Tiktok</v>
      </c>
      <c r="O472">
        <f t="shared" si="57"/>
        <v>2</v>
      </c>
      <c r="P472" t="str">
        <f t="shared" si="58"/>
        <v>8.2</v>
      </c>
      <c r="Q472" t="str">
        <f t="shared" si="59"/>
        <v>OK</v>
      </c>
      <c r="R472" t="b">
        <f t="shared" si="62"/>
        <v>1</v>
      </c>
      <c r="S472" t="str">
        <f t="shared" si="60"/>
        <v>High</v>
      </c>
      <c r="T472" t="str">
        <f t="shared" si="61"/>
        <v>7</v>
      </c>
      <c r="U472">
        <v>4.4000000000000004</v>
      </c>
      <c r="V472" t="b">
        <f t="shared" si="63"/>
        <v>1</v>
      </c>
    </row>
    <row r="473" spans="1:22" x14ac:dyDescent="0.25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2.5</v>
      </c>
      <c r="G473" t="s">
        <v>32</v>
      </c>
      <c r="H473" t="s">
        <v>23</v>
      </c>
      <c r="I473">
        <v>9.3000000000000007</v>
      </c>
      <c r="J473">
        <v>8</v>
      </c>
      <c r="K473" t="s">
        <v>18</v>
      </c>
      <c r="L473">
        <v>2</v>
      </c>
      <c r="M473">
        <v>4</v>
      </c>
      <c r="N473" t="str">
        <f t="shared" si="56"/>
        <v>Facebook</v>
      </c>
      <c r="O473">
        <f t="shared" si="57"/>
        <v>0</v>
      </c>
      <c r="P473" t="str">
        <f t="shared" si="58"/>
        <v>9.3</v>
      </c>
      <c r="Q473" t="str">
        <f t="shared" si="59"/>
        <v>OK</v>
      </c>
      <c r="R473" t="str">
        <f t="shared" si="62"/>
        <v>medium</v>
      </c>
      <c r="S473" t="str">
        <f t="shared" si="60"/>
        <v>Low</v>
      </c>
      <c r="T473" t="str">
        <f t="shared" si="61"/>
        <v>4</v>
      </c>
      <c r="U473">
        <v>4.4000000000000004</v>
      </c>
      <c r="V473" t="b">
        <f t="shared" si="63"/>
        <v>1</v>
      </c>
    </row>
    <row r="474" spans="1:22" x14ac:dyDescent="0.25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3.4</v>
      </c>
      <c r="G474" t="s">
        <v>16</v>
      </c>
      <c r="H474" t="s">
        <v>17</v>
      </c>
      <c r="I474">
        <v>8.5</v>
      </c>
      <c r="J474">
        <v>7</v>
      </c>
      <c r="K474" t="s">
        <v>24</v>
      </c>
      <c r="L474">
        <v>3</v>
      </c>
      <c r="M474">
        <v>6</v>
      </c>
      <c r="N474" t="str">
        <f t="shared" si="56"/>
        <v>Instagram</v>
      </c>
      <c r="O474">
        <f t="shared" si="57"/>
        <v>1</v>
      </c>
      <c r="P474" t="str">
        <f t="shared" si="58"/>
        <v>8.5</v>
      </c>
      <c r="Q474" t="str">
        <f t="shared" si="59"/>
        <v>OK</v>
      </c>
      <c r="R474" t="str">
        <f t="shared" si="62"/>
        <v>medium</v>
      </c>
      <c r="S474" t="str">
        <f t="shared" si="60"/>
        <v>Medium</v>
      </c>
      <c r="T474" t="str">
        <f t="shared" si="61"/>
        <v>6</v>
      </c>
      <c r="U474">
        <v>4.4000000000000004</v>
      </c>
      <c r="V474" t="b">
        <f t="shared" si="63"/>
        <v>1</v>
      </c>
    </row>
    <row r="475" spans="1:22" x14ac:dyDescent="0.25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7.3</v>
      </c>
      <c r="G475" t="s">
        <v>143</v>
      </c>
      <c r="H475" t="s">
        <v>17</v>
      </c>
      <c r="I475">
        <v>5</v>
      </c>
      <c r="J475">
        <v>5</v>
      </c>
      <c r="K475" t="s">
        <v>18</v>
      </c>
      <c r="L475">
        <v>4</v>
      </c>
      <c r="M475">
        <v>8</v>
      </c>
      <c r="N475" t="str">
        <f t="shared" si="56"/>
        <v>Whatsapp</v>
      </c>
      <c r="O475">
        <f t="shared" si="57"/>
        <v>1</v>
      </c>
      <c r="P475" t="str">
        <f t="shared" si="58"/>
        <v>5</v>
      </c>
      <c r="Q475" t="str">
        <f t="shared" si="59"/>
        <v>OK</v>
      </c>
      <c r="R475" t="b">
        <f t="shared" si="62"/>
        <v>1</v>
      </c>
      <c r="S475" t="str">
        <f t="shared" si="60"/>
        <v>High</v>
      </c>
      <c r="T475" t="str">
        <f t="shared" si="61"/>
        <v>8</v>
      </c>
      <c r="U475">
        <v>4.3</v>
      </c>
      <c r="V475" t="b">
        <f t="shared" si="63"/>
        <v>1</v>
      </c>
    </row>
    <row r="476" spans="1:22" x14ac:dyDescent="0.25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2.4</v>
      </c>
      <c r="G476" t="s">
        <v>16</v>
      </c>
      <c r="H476" t="s">
        <v>23</v>
      </c>
      <c r="I476">
        <v>9.4</v>
      </c>
      <c r="J476">
        <v>8</v>
      </c>
      <c r="K476" t="s">
        <v>24</v>
      </c>
      <c r="L476">
        <v>2</v>
      </c>
      <c r="M476">
        <v>4</v>
      </c>
      <c r="N476" t="str">
        <f t="shared" si="56"/>
        <v>Instagram</v>
      </c>
      <c r="O476">
        <f t="shared" si="57"/>
        <v>1</v>
      </c>
      <c r="P476" t="str">
        <f t="shared" si="58"/>
        <v>9.4</v>
      </c>
      <c r="Q476" t="str">
        <f t="shared" si="59"/>
        <v>OK</v>
      </c>
      <c r="R476" t="str">
        <f t="shared" si="62"/>
        <v>medium</v>
      </c>
      <c r="S476" t="str">
        <f t="shared" si="60"/>
        <v>Low</v>
      </c>
      <c r="T476" t="str">
        <f t="shared" si="61"/>
        <v>4</v>
      </c>
      <c r="U476">
        <v>4.3</v>
      </c>
      <c r="V476" t="b">
        <f t="shared" si="63"/>
        <v>1</v>
      </c>
    </row>
    <row r="477" spans="1:22" x14ac:dyDescent="0.25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4</v>
      </c>
      <c r="G477" t="s">
        <v>26</v>
      </c>
      <c r="H477" t="s">
        <v>17</v>
      </c>
      <c r="I477">
        <v>8.1999999999999993</v>
      </c>
      <c r="J477">
        <v>6</v>
      </c>
      <c r="K477" t="s">
        <v>24</v>
      </c>
      <c r="L477">
        <v>3</v>
      </c>
      <c r="M477">
        <v>7</v>
      </c>
      <c r="N477" t="str">
        <f t="shared" si="56"/>
        <v>Tiktok</v>
      </c>
      <c r="O477">
        <f t="shared" si="57"/>
        <v>2</v>
      </c>
      <c r="P477" t="str">
        <f t="shared" si="58"/>
        <v>8.2</v>
      </c>
      <c r="Q477" t="str">
        <f t="shared" si="59"/>
        <v>OK</v>
      </c>
      <c r="R477" t="b">
        <f t="shared" si="62"/>
        <v>1</v>
      </c>
      <c r="S477" t="str">
        <f t="shared" si="60"/>
        <v>High</v>
      </c>
      <c r="T477" t="str">
        <f t="shared" si="61"/>
        <v>7</v>
      </c>
      <c r="U477">
        <v>4.3</v>
      </c>
      <c r="V477" t="b">
        <f t="shared" si="63"/>
        <v>1</v>
      </c>
    </row>
    <row r="478" spans="1:22" x14ac:dyDescent="0.25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8.3000000000000007</v>
      </c>
      <c r="G478" t="s">
        <v>16</v>
      </c>
      <c r="H478" t="s">
        <v>17</v>
      </c>
      <c r="I478">
        <v>4</v>
      </c>
      <c r="J478">
        <v>5</v>
      </c>
      <c r="K478" t="s">
        <v>18</v>
      </c>
      <c r="L478">
        <v>4</v>
      </c>
      <c r="M478">
        <v>9</v>
      </c>
      <c r="N478" t="str">
        <f t="shared" si="56"/>
        <v>Instagram</v>
      </c>
      <c r="O478">
        <f t="shared" si="57"/>
        <v>1</v>
      </c>
      <c r="P478" t="str">
        <f t="shared" si="58"/>
        <v>4</v>
      </c>
      <c r="Q478" t="str">
        <f t="shared" si="59"/>
        <v>LESS SLEEP</v>
      </c>
      <c r="R478" t="b">
        <f t="shared" si="62"/>
        <v>1</v>
      </c>
      <c r="S478" t="str">
        <f t="shared" si="60"/>
        <v>High</v>
      </c>
      <c r="T478" t="str">
        <f t="shared" si="61"/>
        <v>9</v>
      </c>
      <c r="U478">
        <v>4.3</v>
      </c>
      <c r="V478" t="b">
        <f t="shared" si="63"/>
        <v>1</v>
      </c>
    </row>
    <row r="479" spans="1:22" x14ac:dyDescent="0.25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7.1</v>
      </c>
      <c r="G479" t="s">
        <v>143</v>
      </c>
      <c r="H479" t="s">
        <v>17</v>
      </c>
      <c r="I479">
        <v>5.0999999999999996</v>
      </c>
      <c r="J479">
        <v>6</v>
      </c>
      <c r="K479" t="s">
        <v>24</v>
      </c>
      <c r="L479">
        <v>3</v>
      </c>
      <c r="M479">
        <v>7</v>
      </c>
      <c r="N479" t="str">
        <f t="shared" si="56"/>
        <v>Whatsapp</v>
      </c>
      <c r="O479">
        <f t="shared" si="57"/>
        <v>1</v>
      </c>
      <c r="P479" t="str">
        <f t="shared" si="58"/>
        <v>5.1</v>
      </c>
      <c r="Q479" t="str">
        <f t="shared" si="59"/>
        <v>OK</v>
      </c>
      <c r="R479" t="b">
        <f t="shared" si="62"/>
        <v>1</v>
      </c>
      <c r="S479" t="str">
        <f t="shared" si="60"/>
        <v>High</v>
      </c>
      <c r="T479" t="str">
        <f t="shared" si="61"/>
        <v>7</v>
      </c>
      <c r="U479">
        <v>4.3</v>
      </c>
      <c r="V479" t="b">
        <f t="shared" si="63"/>
        <v>1</v>
      </c>
    </row>
    <row r="480" spans="1:22" x14ac:dyDescent="0.25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3</v>
      </c>
      <c r="G480" t="s">
        <v>16</v>
      </c>
      <c r="H480" t="s">
        <v>23</v>
      </c>
      <c r="I480">
        <v>9</v>
      </c>
      <c r="J480">
        <v>7</v>
      </c>
      <c r="K480" t="s">
        <v>18</v>
      </c>
      <c r="L480">
        <v>2</v>
      </c>
      <c r="M480">
        <v>5</v>
      </c>
      <c r="N480" t="str">
        <f t="shared" si="56"/>
        <v>Instagram</v>
      </c>
      <c r="O480">
        <f t="shared" si="57"/>
        <v>1</v>
      </c>
      <c r="P480" t="str">
        <f t="shared" si="58"/>
        <v>9</v>
      </c>
      <c r="Q480" t="str">
        <f t="shared" si="59"/>
        <v>OK</v>
      </c>
      <c r="R480" t="str">
        <f t="shared" si="62"/>
        <v>medium</v>
      </c>
      <c r="S480" t="str">
        <f t="shared" si="60"/>
        <v>Medium</v>
      </c>
      <c r="T480" t="str">
        <f t="shared" si="61"/>
        <v>5</v>
      </c>
      <c r="U480">
        <v>4.3</v>
      </c>
      <c r="V480" t="b">
        <f t="shared" si="63"/>
        <v>1</v>
      </c>
    </row>
    <row r="481" spans="1:22" x14ac:dyDescent="0.25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3.8</v>
      </c>
      <c r="G481" t="s">
        <v>26</v>
      </c>
      <c r="H481" t="s">
        <v>17</v>
      </c>
      <c r="I481">
        <v>8.4</v>
      </c>
      <c r="J481">
        <v>6</v>
      </c>
      <c r="K481" t="s">
        <v>24</v>
      </c>
      <c r="L481">
        <v>3</v>
      </c>
      <c r="M481">
        <v>7</v>
      </c>
      <c r="N481" t="str">
        <f t="shared" si="56"/>
        <v>Tiktok</v>
      </c>
      <c r="O481">
        <f t="shared" si="57"/>
        <v>2</v>
      </c>
      <c r="P481" t="str">
        <f t="shared" si="58"/>
        <v>8.4</v>
      </c>
      <c r="Q481" t="str">
        <f t="shared" si="59"/>
        <v>OK</v>
      </c>
      <c r="R481" t="b">
        <f t="shared" si="62"/>
        <v>1</v>
      </c>
      <c r="S481" t="str">
        <f t="shared" si="60"/>
        <v>High</v>
      </c>
      <c r="T481" t="str">
        <f t="shared" si="61"/>
        <v>7</v>
      </c>
      <c r="U481">
        <v>4.3</v>
      </c>
      <c r="V481" t="b">
        <f t="shared" si="63"/>
        <v>1</v>
      </c>
    </row>
    <row r="482" spans="1:22" x14ac:dyDescent="0.25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3.6</v>
      </c>
      <c r="G482" t="s">
        <v>16</v>
      </c>
      <c r="H482" t="s">
        <v>17</v>
      </c>
      <c r="I482">
        <v>8.3000000000000007</v>
      </c>
      <c r="J482">
        <v>6</v>
      </c>
      <c r="K482" t="s">
        <v>24</v>
      </c>
      <c r="L482">
        <v>3</v>
      </c>
      <c r="M482">
        <v>7</v>
      </c>
      <c r="N482" t="str">
        <f t="shared" si="56"/>
        <v>Instagram</v>
      </c>
      <c r="O482">
        <f t="shared" si="57"/>
        <v>1</v>
      </c>
      <c r="P482" t="str">
        <f t="shared" si="58"/>
        <v>8.3</v>
      </c>
      <c r="Q482" t="str">
        <f t="shared" si="59"/>
        <v>OK</v>
      </c>
      <c r="R482" t="b">
        <f t="shared" si="62"/>
        <v>1</v>
      </c>
      <c r="S482" t="str">
        <f t="shared" si="60"/>
        <v>High</v>
      </c>
      <c r="T482" t="str">
        <f t="shared" si="61"/>
        <v>7</v>
      </c>
      <c r="U482">
        <v>4.3</v>
      </c>
      <c r="V482" t="b">
        <f t="shared" si="63"/>
        <v>1</v>
      </c>
    </row>
    <row r="483" spans="1:22" x14ac:dyDescent="0.25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2.4</v>
      </c>
      <c r="G483" t="s">
        <v>32</v>
      </c>
      <c r="H483" t="s">
        <v>23</v>
      </c>
      <c r="I483">
        <v>9.4</v>
      </c>
      <c r="J483">
        <v>8</v>
      </c>
      <c r="K483" t="s">
        <v>18</v>
      </c>
      <c r="L483">
        <v>2</v>
      </c>
      <c r="M483">
        <v>4</v>
      </c>
      <c r="N483" t="str">
        <f t="shared" si="56"/>
        <v>Facebook</v>
      </c>
      <c r="O483">
        <f t="shared" si="57"/>
        <v>0</v>
      </c>
      <c r="P483" t="str">
        <f t="shared" si="58"/>
        <v>9.4</v>
      </c>
      <c r="Q483" t="str">
        <f t="shared" si="59"/>
        <v>OK</v>
      </c>
      <c r="R483" t="str">
        <f t="shared" si="62"/>
        <v>medium</v>
      </c>
      <c r="S483" t="str">
        <f t="shared" si="60"/>
        <v>Low</v>
      </c>
      <c r="T483" t="str">
        <f t="shared" si="61"/>
        <v>4</v>
      </c>
      <c r="U483">
        <v>4.3</v>
      </c>
      <c r="V483" t="b">
        <f t="shared" si="63"/>
        <v>1</v>
      </c>
    </row>
    <row r="484" spans="1:22" x14ac:dyDescent="0.25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3.3</v>
      </c>
      <c r="G484" t="s">
        <v>26</v>
      </c>
      <c r="H484" t="s">
        <v>17</v>
      </c>
      <c r="I484">
        <v>8.6</v>
      </c>
      <c r="J484">
        <v>7</v>
      </c>
      <c r="K484" t="s">
        <v>24</v>
      </c>
      <c r="L484">
        <v>3</v>
      </c>
      <c r="M484">
        <v>6</v>
      </c>
      <c r="N484" t="str">
        <f t="shared" si="56"/>
        <v>Tiktok</v>
      </c>
      <c r="O484">
        <f t="shared" si="57"/>
        <v>2</v>
      </c>
      <c r="P484" t="str">
        <f t="shared" si="58"/>
        <v>8.6</v>
      </c>
      <c r="Q484" t="str">
        <f t="shared" si="59"/>
        <v>OK</v>
      </c>
      <c r="R484" t="str">
        <f t="shared" si="62"/>
        <v>medium</v>
      </c>
      <c r="S484" t="str">
        <f t="shared" si="60"/>
        <v>Medium</v>
      </c>
      <c r="T484" t="str">
        <f t="shared" si="61"/>
        <v>6</v>
      </c>
      <c r="U484">
        <v>4.3</v>
      </c>
      <c r="V484" t="b">
        <f t="shared" si="63"/>
        <v>1</v>
      </c>
    </row>
    <row r="485" spans="1:22" x14ac:dyDescent="0.25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7.4</v>
      </c>
      <c r="G485" t="s">
        <v>143</v>
      </c>
      <c r="H485" t="s">
        <v>17</v>
      </c>
      <c r="I485">
        <v>4.9000000000000004</v>
      </c>
      <c r="J485">
        <v>5</v>
      </c>
      <c r="K485" t="s">
        <v>18</v>
      </c>
      <c r="L485">
        <v>4</v>
      </c>
      <c r="M485">
        <v>8</v>
      </c>
      <c r="N485" t="str">
        <f t="shared" si="56"/>
        <v>Whatsapp</v>
      </c>
      <c r="O485">
        <f t="shared" si="57"/>
        <v>1</v>
      </c>
      <c r="P485" t="str">
        <f t="shared" si="58"/>
        <v>4.9</v>
      </c>
      <c r="Q485" t="str">
        <f t="shared" si="59"/>
        <v>LESS SLEEP</v>
      </c>
      <c r="R485" t="b">
        <f t="shared" si="62"/>
        <v>1</v>
      </c>
      <c r="S485" t="str">
        <f t="shared" si="60"/>
        <v>High</v>
      </c>
      <c r="T485" t="str">
        <f t="shared" si="61"/>
        <v>8</v>
      </c>
      <c r="U485">
        <v>4.3</v>
      </c>
      <c r="V485" t="b">
        <f t="shared" si="63"/>
        <v>1</v>
      </c>
    </row>
    <row r="486" spans="1:22" x14ac:dyDescent="0.25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2.2999999999999998</v>
      </c>
      <c r="G486" t="s">
        <v>16</v>
      </c>
      <c r="H486" t="s">
        <v>23</v>
      </c>
      <c r="I486">
        <v>9.5</v>
      </c>
      <c r="J486">
        <v>8</v>
      </c>
      <c r="K486" t="s">
        <v>24</v>
      </c>
      <c r="L486">
        <v>2</v>
      </c>
      <c r="M486">
        <v>4</v>
      </c>
      <c r="N486" t="str">
        <f t="shared" si="56"/>
        <v>Instagram</v>
      </c>
      <c r="O486">
        <f t="shared" si="57"/>
        <v>1</v>
      </c>
      <c r="P486" t="str">
        <f t="shared" si="58"/>
        <v>9.5</v>
      </c>
      <c r="Q486" t="str">
        <f t="shared" si="59"/>
        <v>OK</v>
      </c>
      <c r="R486" t="str">
        <f t="shared" si="62"/>
        <v>medium</v>
      </c>
      <c r="S486" t="str">
        <f t="shared" si="60"/>
        <v>Low</v>
      </c>
      <c r="T486" t="str">
        <f t="shared" si="61"/>
        <v>4</v>
      </c>
      <c r="U486">
        <v>4.3</v>
      </c>
      <c r="V486" t="b">
        <f t="shared" si="63"/>
        <v>1</v>
      </c>
    </row>
    <row r="487" spans="1:22" x14ac:dyDescent="0.25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3.9</v>
      </c>
      <c r="G487" t="s">
        <v>16</v>
      </c>
      <c r="H487" t="s">
        <v>17</v>
      </c>
      <c r="I487">
        <v>8.3000000000000007</v>
      </c>
      <c r="J487">
        <v>6</v>
      </c>
      <c r="K487" t="s">
        <v>24</v>
      </c>
      <c r="L487">
        <v>3</v>
      </c>
      <c r="M487">
        <v>7</v>
      </c>
      <c r="N487" t="str">
        <f t="shared" si="56"/>
        <v>Instagram</v>
      </c>
      <c r="O487">
        <f t="shared" si="57"/>
        <v>1</v>
      </c>
      <c r="P487" t="str">
        <f t="shared" si="58"/>
        <v>8.3</v>
      </c>
      <c r="Q487" t="str">
        <f t="shared" si="59"/>
        <v>OK</v>
      </c>
      <c r="R487" t="b">
        <f t="shared" si="62"/>
        <v>1</v>
      </c>
      <c r="S487" t="str">
        <f t="shared" si="60"/>
        <v>High</v>
      </c>
      <c r="T487" t="str">
        <f t="shared" si="61"/>
        <v>7</v>
      </c>
      <c r="U487">
        <v>4.3</v>
      </c>
      <c r="V487" t="b">
        <f t="shared" si="63"/>
        <v>1</v>
      </c>
    </row>
    <row r="488" spans="1:22" x14ac:dyDescent="0.25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8.4</v>
      </c>
      <c r="G488" t="s">
        <v>26</v>
      </c>
      <c r="H488" t="s">
        <v>17</v>
      </c>
      <c r="I488">
        <v>3.9</v>
      </c>
      <c r="J488">
        <v>5</v>
      </c>
      <c r="K488" t="s">
        <v>18</v>
      </c>
      <c r="L488">
        <v>4</v>
      </c>
      <c r="M488">
        <v>9</v>
      </c>
      <c r="N488" t="str">
        <f t="shared" si="56"/>
        <v>Tiktok</v>
      </c>
      <c r="O488">
        <f t="shared" si="57"/>
        <v>2</v>
      </c>
      <c r="P488" t="str">
        <f t="shared" si="58"/>
        <v>3.9</v>
      </c>
      <c r="Q488" t="str">
        <f t="shared" si="59"/>
        <v>LESS SLEEP</v>
      </c>
      <c r="R488" t="b">
        <f t="shared" si="62"/>
        <v>1</v>
      </c>
      <c r="S488" t="str">
        <f t="shared" si="60"/>
        <v>High</v>
      </c>
      <c r="T488" t="str">
        <f t="shared" si="61"/>
        <v>9</v>
      </c>
      <c r="U488">
        <v>4.3</v>
      </c>
      <c r="V488" t="b">
        <f t="shared" si="63"/>
        <v>1</v>
      </c>
    </row>
    <row r="489" spans="1:22" x14ac:dyDescent="0.25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7.2</v>
      </c>
      <c r="G489" t="s">
        <v>143</v>
      </c>
      <c r="H489" t="s">
        <v>17</v>
      </c>
      <c r="I489">
        <v>5</v>
      </c>
      <c r="J489">
        <v>6</v>
      </c>
      <c r="K489" t="s">
        <v>24</v>
      </c>
      <c r="L489">
        <v>3</v>
      </c>
      <c r="M489">
        <v>7</v>
      </c>
      <c r="N489" t="str">
        <f t="shared" si="56"/>
        <v>Whatsapp</v>
      </c>
      <c r="O489">
        <f t="shared" si="57"/>
        <v>1</v>
      </c>
      <c r="P489" t="str">
        <f t="shared" si="58"/>
        <v>5</v>
      </c>
      <c r="Q489" t="str">
        <f t="shared" si="59"/>
        <v>OK</v>
      </c>
      <c r="R489" t="b">
        <f t="shared" si="62"/>
        <v>1</v>
      </c>
      <c r="S489" t="str">
        <f t="shared" si="60"/>
        <v>High</v>
      </c>
      <c r="T489" t="str">
        <f t="shared" si="61"/>
        <v>7</v>
      </c>
      <c r="U489">
        <v>4.3</v>
      </c>
      <c r="V489" t="b">
        <f t="shared" si="63"/>
        <v>1</v>
      </c>
    </row>
    <row r="490" spans="1:22" x14ac:dyDescent="0.25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2.9</v>
      </c>
      <c r="G490" t="s">
        <v>16</v>
      </c>
      <c r="H490" t="s">
        <v>23</v>
      </c>
      <c r="I490">
        <v>9.1</v>
      </c>
      <c r="J490">
        <v>7</v>
      </c>
      <c r="K490" t="s">
        <v>18</v>
      </c>
      <c r="L490">
        <v>2</v>
      </c>
      <c r="M490">
        <v>5</v>
      </c>
      <c r="N490" t="str">
        <f t="shared" si="56"/>
        <v>Instagram</v>
      </c>
      <c r="O490">
        <f t="shared" si="57"/>
        <v>1</v>
      </c>
      <c r="P490" t="str">
        <f t="shared" si="58"/>
        <v>9.1</v>
      </c>
      <c r="Q490" t="str">
        <f t="shared" si="59"/>
        <v>OK</v>
      </c>
      <c r="R490" t="str">
        <f t="shared" si="62"/>
        <v>medium</v>
      </c>
      <c r="S490" t="str">
        <f t="shared" si="60"/>
        <v>Medium</v>
      </c>
      <c r="T490" t="str">
        <f t="shared" si="61"/>
        <v>5</v>
      </c>
      <c r="U490">
        <v>4.3</v>
      </c>
      <c r="V490" t="b">
        <f t="shared" si="63"/>
        <v>1</v>
      </c>
    </row>
    <row r="491" spans="1:22" x14ac:dyDescent="0.25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3.7</v>
      </c>
      <c r="G491" t="s">
        <v>16</v>
      </c>
      <c r="H491" t="s">
        <v>17</v>
      </c>
      <c r="I491">
        <v>8.5</v>
      </c>
      <c r="J491">
        <v>6</v>
      </c>
      <c r="K491" t="s">
        <v>24</v>
      </c>
      <c r="L491">
        <v>3</v>
      </c>
      <c r="M491">
        <v>7</v>
      </c>
      <c r="N491" t="str">
        <f t="shared" si="56"/>
        <v>Instagram</v>
      </c>
      <c r="O491">
        <f t="shared" si="57"/>
        <v>1</v>
      </c>
      <c r="P491" t="str">
        <f t="shared" si="58"/>
        <v>8.5</v>
      </c>
      <c r="Q491" t="str">
        <f t="shared" si="59"/>
        <v>OK</v>
      </c>
      <c r="R491" t="b">
        <f t="shared" si="62"/>
        <v>1</v>
      </c>
      <c r="S491" t="str">
        <f t="shared" si="60"/>
        <v>High</v>
      </c>
      <c r="T491" t="str">
        <f t="shared" si="61"/>
        <v>7</v>
      </c>
      <c r="U491">
        <v>4.3</v>
      </c>
      <c r="V491" t="b">
        <f t="shared" si="63"/>
        <v>1</v>
      </c>
    </row>
    <row r="492" spans="1:22" x14ac:dyDescent="0.25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3.5</v>
      </c>
      <c r="G492" t="s">
        <v>26</v>
      </c>
      <c r="H492" t="s">
        <v>17</v>
      </c>
      <c r="I492">
        <v>8.4</v>
      </c>
      <c r="J492">
        <v>6</v>
      </c>
      <c r="K492" t="s">
        <v>24</v>
      </c>
      <c r="L492">
        <v>3</v>
      </c>
      <c r="M492">
        <v>7</v>
      </c>
      <c r="N492" t="str">
        <f t="shared" si="56"/>
        <v>Tiktok</v>
      </c>
      <c r="O492">
        <f t="shared" si="57"/>
        <v>2</v>
      </c>
      <c r="P492" t="str">
        <f t="shared" si="58"/>
        <v>8.4</v>
      </c>
      <c r="Q492" t="str">
        <f t="shared" si="59"/>
        <v>OK</v>
      </c>
      <c r="R492" t="b">
        <f t="shared" si="62"/>
        <v>1</v>
      </c>
      <c r="S492" t="str">
        <f t="shared" si="60"/>
        <v>High</v>
      </c>
      <c r="T492" t="str">
        <f t="shared" si="61"/>
        <v>7</v>
      </c>
      <c r="U492">
        <v>4.3</v>
      </c>
      <c r="V492" t="b">
        <f t="shared" si="63"/>
        <v>1</v>
      </c>
    </row>
    <row r="493" spans="1:22" x14ac:dyDescent="0.25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2.2999999999999998</v>
      </c>
      <c r="G493" t="s">
        <v>32</v>
      </c>
      <c r="H493" t="s">
        <v>23</v>
      </c>
      <c r="I493">
        <v>9.5</v>
      </c>
      <c r="J493">
        <v>8</v>
      </c>
      <c r="K493" t="s">
        <v>18</v>
      </c>
      <c r="L493">
        <v>2</v>
      </c>
      <c r="M493">
        <v>4</v>
      </c>
      <c r="N493" t="str">
        <f t="shared" si="56"/>
        <v>Facebook</v>
      </c>
      <c r="O493">
        <f t="shared" si="57"/>
        <v>0</v>
      </c>
      <c r="P493" t="str">
        <f t="shared" si="58"/>
        <v>9.5</v>
      </c>
      <c r="Q493" t="str">
        <f t="shared" si="59"/>
        <v>OK</v>
      </c>
      <c r="R493" t="str">
        <f t="shared" si="62"/>
        <v>medium</v>
      </c>
      <c r="S493" t="str">
        <f t="shared" si="60"/>
        <v>Low</v>
      </c>
      <c r="T493" t="str">
        <f t="shared" si="61"/>
        <v>4</v>
      </c>
      <c r="U493">
        <v>4.3</v>
      </c>
      <c r="V493" t="b">
        <f t="shared" si="63"/>
        <v>1</v>
      </c>
    </row>
    <row r="494" spans="1:22" x14ac:dyDescent="0.25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3.2</v>
      </c>
      <c r="G494" t="s">
        <v>16</v>
      </c>
      <c r="H494" t="s">
        <v>17</v>
      </c>
      <c r="I494">
        <v>8.6999999999999993</v>
      </c>
      <c r="J494">
        <v>7</v>
      </c>
      <c r="K494" t="s">
        <v>24</v>
      </c>
      <c r="L494">
        <v>3</v>
      </c>
      <c r="M494">
        <v>6</v>
      </c>
      <c r="N494" t="str">
        <f t="shared" si="56"/>
        <v>Instagram</v>
      </c>
      <c r="O494">
        <f t="shared" si="57"/>
        <v>1</v>
      </c>
      <c r="P494" t="str">
        <f t="shared" si="58"/>
        <v>8.7</v>
      </c>
      <c r="Q494" t="str">
        <f t="shared" si="59"/>
        <v>OK</v>
      </c>
      <c r="R494" t="str">
        <f t="shared" si="62"/>
        <v>medium</v>
      </c>
      <c r="S494" t="str">
        <f t="shared" si="60"/>
        <v>Medium</v>
      </c>
      <c r="T494" t="str">
        <f t="shared" si="61"/>
        <v>6</v>
      </c>
      <c r="U494">
        <v>4.3</v>
      </c>
      <c r="V494" t="b">
        <f t="shared" si="63"/>
        <v>1</v>
      </c>
    </row>
    <row r="495" spans="1:22" x14ac:dyDescent="0.25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7.5</v>
      </c>
      <c r="G495" t="s">
        <v>143</v>
      </c>
      <c r="H495" t="s">
        <v>17</v>
      </c>
      <c r="I495">
        <v>4.8</v>
      </c>
      <c r="J495">
        <v>5</v>
      </c>
      <c r="K495" t="s">
        <v>18</v>
      </c>
      <c r="L495">
        <v>4</v>
      </c>
      <c r="M495">
        <v>8</v>
      </c>
      <c r="N495" t="str">
        <f t="shared" si="56"/>
        <v>Whatsapp</v>
      </c>
      <c r="O495">
        <f t="shared" si="57"/>
        <v>1</v>
      </c>
      <c r="P495" t="str">
        <f t="shared" si="58"/>
        <v>4.8</v>
      </c>
      <c r="Q495" t="str">
        <f t="shared" si="59"/>
        <v>LESS SLEEP</v>
      </c>
      <c r="R495" t="b">
        <f t="shared" si="62"/>
        <v>1</v>
      </c>
      <c r="S495" t="str">
        <f t="shared" si="60"/>
        <v>High</v>
      </c>
      <c r="T495" t="str">
        <f t="shared" si="61"/>
        <v>8</v>
      </c>
      <c r="U495">
        <v>4.3</v>
      </c>
      <c r="V495" t="b">
        <f t="shared" si="63"/>
        <v>1</v>
      </c>
    </row>
    <row r="496" spans="1:22" x14ac:dyDescent="0.25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2.2000000000000002</v>
      </c>
      <c r="G496" t="s">
        <v>16</v>
      </c>
      <c r="H496" t="s">
        <v>23</v>
      </c>
      <c r="I496">
        <v>9.6</v>
      </c>
      <c r="J496">
        <v>8</v>
      </c>
      <c r="K496" t="s">
        <v>24</v>
      </c>
      <c r="L496">
        <v>2</v>
      </c>
      <c r="M496">
        <v>4</v>
      </c>
      <c r="N496" t="str">
        <f t="shared" si="56"/>
        <v>Instagram</v>
      </c>
      <c r="O496">
        <f t="shared" si="57"/>
        <v>1</v>
      </c>
      <c r="P496" t="str">
        <f t="shared" si="58"/>
        <v>9.6</v>
      </c>
      <c r="Q496" t="str">
        <f t="shared" si="59"/>
        <v>OK</v>
      </c>
      <c r="R496" t="str">
        <f t="shared" si="62"/>
        <v>medium</v>
      </c>
      <c r="S496" t="str">
        <f t="shared" si="60"/>
        <v>Low</v>
      </c>
      <c r="T496" t="str">
        <f t="shared" si="61"/>
        <v>4</v>
      </c>
      <c r="U496">
        <v>4.3</v>
      </c>
      <c r="V496" t="b">
        <f t="shared" si="63"/>
        <v>1</v>
      </c>
    </row>
    <row r="497" spans="1:22" x14ac:dyDescent="0.25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3.8</v>
      </c>
      <c r="G497" t="s">
        <v>26</v>
      </c>
      <c r="H497" t="s">
        <v>17</v>
      </c>
      <c r="I497">
        <v>8.4</v>
      </c>
      <c r="J497">
        <v>6</v>
      </c>
      <c r="K497" t="s">
        <v>24</v>
      </c>
      <c r="L497">
        <v>3</v>
      </c>
      <c r="M497">
        <v>7</v>
      </c>
      <c r="N497" t="str">
        <f t="shared" si="56"/>
        <v>Tiktok</v>
      </c>
      <c r="O497">
        <f t="shared" si="57"/>
        <v>2</v>
      </c>
      <c r="P497" t="str">
        <f t="shared" si="58"/>
        <v>8.4</v>
      </c>
      <c r="Q497" t="str">
        <f t="shared" si="59"/>
        <v>OK</v>
      </c>
      <c r="R497" t="b">
        <f t="shared" si="62"/>
        <v>1</v>
      </c>
      <c r="S497" t="str">
        <f t="shared" si="60"/>
        <v>High</v>
      </c>
      <c r="T497" t="str">
        <f t="shared" si="61"/>
        <v>7</v>
      </c>
      <c r="U497">
        <v>4.3</v>
      </c>
      <c r="V497" t="b">
        <f t="shared" si="63"/>
        <v>1</v>
      </c>
    </row>
    <row r="498" spans="1:22" x14ac:dyDescent="0.25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8.5</v>
      </c>
      <c r="G498" t="s">
        <v>16</v>
      </c>
      <c r="H498" t="s">
        <v>17</v>
      </c>
      <c r="I498">
        <v>3.8</v>
      </c>
      <c r="J498">
        <v>5</v>
      </c>
      <c r="K498" t="s">
        <v>18</v>
      </c>
      <c r="L498">
        <v>4</v>
      </c>
      <c r="M498">
        <v>9</v>
      </c>
      <c r="N498" t="str">
        <f t="shared" si="56"/>
        <v>Instagram</v>
      </c>
      <c r="O498">
        <f t="shared" si="57"/>
        <v>1</v>
      </c>
      <c r="P498" t="str">
        <f t="shared" si="58"/>
        <v>3.8</v>
      </c>
      <c r="Q498" t="str">
        <f t="shared" si="59"/>
        <v>LESS SLEEP</v>
      </c>
      <c r="R498" t="b">
        <f t="shared" si="62"/>
        <v>1</v>
      </c>
      <c r="S498" t="str">
        <f t="shared" si="60"/>
        <v>High</v>
      </c>
      <c r="T498" t="str">
        <f t="shared" si="61"/>
        <v>9</v>
      </c>
      <c r="U498">
        <v>4.2</v>
      </c>
      <c r="V498" t="b">
        <f t="shared" si="63"/>
        <v>1</v>
      </c>
    </row>
    <row r="499" spans="1:22" x14ac:dyDescent="0.25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7.3</v>
      </c>
      <c r="G499" t="s">
        <v>143</v>
      </c>
      <c r="H499" t="s">
        <v>17</v>
      </c>
      <c r="I499">
        <v>4.9000000000000004</v>
      </c>
      <c r="J499">
        <v>6</v>
      </c>
      <c r="K499" t="s">
        <v>24</v>
      </c>
      <c r="L499">
        <v>3</v>
      </c>
      <c r="M499">
        <v>7</v>
      </c>
      <c r="N499" t="str">
        <f t="shared" si="56"/>
        <v>Whatsapp</v>
      </c>
      <c r="O499">
        <f t="shared" si="57"/>
        <v>1</v>
      </c>
      <c r="P499" t="str">
        <f t="shared" si="58"/>
        <v>4.9</v>
      </c>
      <c r="Q499" t="str">
        <f t="shared" si="59"/>
        <v>LESS SLEEP</v>
      </c>
      <c r="R499" t="b">
        <f t="shared" si="62"/>
        <v>1</v>
      </c>
      <c r="S499" t="str">
        <f t="shared" si="60"/>
        <v>High</v>
      </c>
      <c r="T499" t="str">
        <f t="shared" si="61"/>
        <v>7</v>
      </c>
      <c r="U499">
        <v>4.2</v>
      </c>
      <c r="V499" t="b">
        <f t="shared" si="63"/>
        <v>1</v>
      </c>
    </row>
    <row r="500" spans="1:22" x14ac:dyDescent="0.25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2.8</v>
      </c>
      <c r="G500" t="s">
        <v>16</v>
      </c>
      <c r="H500" t="s">
        <v>23</v>
      </c>
      <c r="I500">
        <v>9.1999999999999993</v>
      </c>
      <c r="J500">
        <v>7</v>
      </c>
      <c r="K500" t="s">
        <v>18</v>
      </c>
      <c r="L500">
        <v>2</v>
      </c>
      <c r="M500">
        <v>5</v>
      </c>
      <c r="N500" t="str">
        <f t="shared" si="56"/>
        <v>Instagram</v>
      </c>
      <c r="O500">
        <f t="shared" si="57"/>
        <v>1</v>
      </c>
      <c r="P500" t="str">
        <f t="shared" si="58"/>
        <v>9.2</v>
      </c>
      <c r="Q500" t="str">
        <f t="shared" si="59"/>
        <v>OK</v>
      </c>
      <c r="R500" t="str">
        <f t="shared" si="62"/>
        <v>medium</v>
      </c>
      <c r="S500" t="str">
        <f t="shared" si="60"/>
        <v>Medium</v>
      </c>
      <c r="T500" t="str">
        <f t="shared" si="61"/>
        <v>5</v>
      </c>
      <c r="U500">
        <v>4.2</v>
      </c>
      <c r="V500" t="b">
        <f t="shared" si="63"/>
        <v>1</v>
      </c>
    </row>
    <row r="501" spans="1:22" x14ac:dyDescent="0.25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3.6</v>
      </c>
      <c r="G501" t="s">
        <v>26</v>
      </c>
      <c r="H501" t="s">
        <v>17</v>
      </c>
      <c r="I501">
        <v>8.6</v>
      </c>
      <c r="J501">
        <v>6</v>
      </c>
      <c r="K501" t="s">
        <v>24</v>
      </c>
      <c r="L501">
        <v>3</v>
      </c>
      <c r="M501">
        <v>7</v>
      </c>
      <c r="N501" t="str">
        <f t="shared" si="56"/>
        <v>Tiktok</v>
      </c>
      <c r="O501">
        <f t="shared" si="57"/>
        <v>2</v>
      </c>
      <c r="P501" t="str">
        <f t="shared" si="58"/>
        <v>8.6</v>
      </c>
      <c r="Q501" t="str">
        <f t="shared" si="59"/>
        <v>OK</v>
      </c>
      <c r="R501" t="b">
        <f t="shared" si="62"/>
        <v>1</v>
      </c>
      <c r="S501" t="str">
        <f t="shared" si="60"/>
        <v>High</v>
      </c>
      <c r="T501" t="str">
        <f t="shared" si="61"/>
        <v>7</v>
      </c>
      <c r="U501">
        <v>4.2</v>
      </c>
      <c r="V501" t="b">
        <f t="shared" si="63"/>
        <v>1</v>
      </c>
    </row>
    <row r="502" spans="1:22" x14ac:dyDescent="0.25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6.2</v>
      </c>
      <c r="G502" t="s">
        <v>143</v>
      </c>
      <c r="H502" t="s">
        <v>17</v>
      </c>
      <c r="I502">
        <v>6.3</v>
      </c>
      <c r="J502">
        <v>6</v>
      </c>
      <c r="K502" t="s">
        <v>24</v>
      </c>
      <c r="L502">
        <v>3</v>
      </c>
      <c r="M502">
        <v>7</v>
      </c>
      <c r="N502" t="str">
        <f t="shared" si="56"/>
        <v>Whatsapp</v>
      </c>
      <c r="O502">
        <f t="shared" si="57"/>
        <v>1</v>
      </c>
      <c r="P502" t="str">
        <f t="shared" si="58"/>
        <v>6.3</v>
      </c>
      <c r="Q502" t="str">
        <f t="shared" si="59"/>
        <v>OK</v>
      </c>
      <c r="R502" t="b">
        <f t="shared" si="62"/>
        <v>1</v>
      </c>
      <c r="S502" t="str">
        <f t="shared" si="60"/>
        <v>High</v>
      </c>
      <c r="T502" t="str">
        <f t="shared" si="61"/>
        <v>7</v>
      </c>
      <c r="U502">
        <v>4.2</v>
      </c>
      <c r="V502" t="b">
        <f t="shared" si="63"/>
        <v>1</v>
      </c>
    </row>
    <row r="503" spans="1:22" x14ac:dyDescent="0.25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4.5</v>
      </c>
      <c r="G503" t="s">
        <v>144</v>
      </c>
      <c r="H503" t="s">
        <v>23</v>
      </c>
      <c r="I503">
        <v>7.8</v>
      </c>
      <c r="J503">
        <v>7</v>
      </c>
      <c r="K503" t="s">
        <v>18</v>
      </c>
      <c r="L503">
        <v>2</v>
      </c>
      <c r="M503">
        <v>5</v>
      </c>
      <c r="N503" t="str">
        <f t="shared" si="56"/>
        <v>Wechat</v>
      </c>
      <c r="O503">
        <f t="shared" si="57"/>
        <v>1</v>
      </c>
      <c r="P503" t="str">
        <f t="shared" si="58"/>
        <v>7.8</v>
      </c>
      <c r="Q503" t="str">
        <f t="shared" si="59"/>
        <v>OK</v>
      </c>
      <c r="R503" t="str">
        <f t="shared" si="62"/>
        <v>medium</v>
      </c>
      <c r="S503" t="str">
        <f t="shared" si="60"/>
        <v>Medium</v>
      </c>
      <c r="T503" t="str">
        <f t="shared" si="61"/>
        <v>5</v>
      </c>
      <c r="U503">
        <v>4.2</v>
      </c>
      <c r="V503" t="b">
        <f t="shared" si="63"/>
        <v>1</v>
      </c>
    </row>
    <row r="504" spans="1:22" x14ac:dyDescent="0.25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3.8</v>
      </c>
      <c r="G504" t="s">
        <v>16</v>
      </c>
      <c r="H504" t="s">
        <v>23</v>
      </c>
      <c r="I504">
        <v>8.1999999999999993</v>
      </c>
      <c r="J504">
        <v>8</v>
      </c>
      <c r="K504" t="s">
        <v>24</v>
      </c>
      <c r="L504">
        <v>2</v>
      </c>
      <c r="M504">
        <v>4</v>
      </c>
      <c r="N504" t="str">
        <f t="shared" si="56"/>
        <v>Instagram</v>
      </c>
      <c r="O504">
        <f t="shared" si="57"/>
        <v>1</v>
      </c>
      <c r="P504" t="str">
        <f t="shared" si="58"/>
        <v>8.2</v>
      </c>
      <c r="Q504" t="str">
        <f t="shared" si="59"/>
        <v>OK</v>
      </c>
      <c r="R504" t="str">
        <f t="shared" si="62"/>
        <v>medium</v>
      </c>
      <c r="S504" t="str">
        <f t="shared" si="60"/>
        <v>Low</v>
      </c>
      <c r="T504" t="str">
        <f t="shared" si="61"/>
        <v>4</v>
      </c>
      <c r="U504">
        <v>4.2</v>
      </c>
      <c r="V504" t="b">
        <f t="shared" si="63"/>
        <v>1</v>
      </c>
    </row>
    <row r="505" spans="1:22" x14ac:dyDescent="0.25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4.7</v>
      </c>
      <c r="G505" t="s">
        <v>16</v>
      </c>
      <c r="H505" t="s">
        <v>17</v>
      </c>
      <c r="I505">
        <v>7.5</v>
      </c>
      <c r="J505">
        <v>7</v>
      </c>
      <c r="K505" t="s">
        <v>18</v>
      </c>
      <c r="L505">
        <v>3</v>
      </c>
      <c r="M505">
        <v>6</v>
      </c>
      <c r="N505" t="str">
        <f t="shared" si="56"/>
        <v>Instagram</v>
      </c>
      <c r="O505">
        <f t="shared" si="57"/>
        <v>1</v>
      </c>
      <c r="P505" t="str">
        <f t="shared" si="58"/>
        <v>7.5</v>
      </c>
      <c r="Q505" t="str">
        <f t="shared" si="59"/>
        <v>OK</v>
      </c>
      <c r="R505" t="str">
        <f t="shared" si="62"/>
        <v>medium</v>
      </c>
      <c r="S505" t="str">
        <f t="shared" si="60"/>
        <v>Medium</v>
      </c>
      <c r="T505" t="str">
        <f t="shared" si="61"/>
        <v>6</v>
      </c>
      <c r="U505">
        <v>4.2</v>
      </c>
      <c r="V505" t="b">
        <f t="shared" si="63"/>
        <v>1</v>
      </c>
    </row>
    <row r="506" spans="1:22" x14ac:dyDescent="0.25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5.0999999999999996</v>
      </c>
      <c r="G506" t="s">
        <v>26</v>
      </c>
      <c r="H506" t="s">
        <v>17</v>
      </c>
      <c r="I506">
        <v>7</v>
      </c>
      <c r="J506">
        <v>6</v>
      </c>
      <c r="K506" t="s">
        <v>24</v>
      </c>
      <c r="L506">
        <v>3</v>
      </c>
      <c r="M506">
        <v>7</v>
      </c>
      <c r="N506" t="str">
        <f t="shared" si="56"/>
        <v>Tiktok</v>
      </c>
      <c r="O506">
        <f t="shared" si="57"/>
        <v>2</v>
      </c>
      <c r="P506" t="str">
        <f t="shared" si="58"/>
        <v>7</v>
      </c>
      <c r="Q506" t="str">
        <f t="shared" si="59"/>
        <v>OK</v>
      </c>
      <c r="R506" t="b">
        <f t="shared" si="62"/>
        <v>1</v>
      </c>
      <c r="S506" t="str">
        <f t="shared" si="60"/>
        <v>High</v>
      </c>
      <c r="T506" t="str">
        <f t="shared" si="61"/>
        <v>7</v>
      </c>
      <c r="U506">
        <v>4.2</v>
      </c>
      <c r="V506" t="b">
        <f t="shared" si="63"/>
        <v>1</v>
      </c>
    </row>
    <row r="507" spans="1:22" x14ac:dyDescent="0.25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5.5</v>
      </c>
      <c r="G507" t="s">
        <v>143</v>
      </c>
      <c r="H507" t="s">
        <v>17</v>
      </c>
      <c r="I507">
        <v>6.8</v>
      </c>
      <c r="J507">
        <v>6</v>
      </c>
      <c r="K507" t="s">
        <v>24</v>
      </c>
      <c r="L507">
        <v>3</v>
      </c>
      <c r="M507">
        <v>7</v>
      </c>
      <c r="N507" t="str">
        <f t="shared" si="56"/>
        <v>Whatsapp</v>
      </c>
      <c r="O507">
        <f t="shared" si="57"/>
        <v>1</v>
      </c>
      <c r="P507" t="str">
        <f t="shared" si="58"/>
        <v>6.8</v>
      </c>
      <c r="Q507" t="str">
        <f t="shared" si="59"/>
        <v>OK</v>
      </c>
      <c r="R507" t="b">
        <f t="shared" si="62"/>
        <v>1</v>
      </c>
      <c r="S507" t="str">
        <f t="shared" si="60"/>
        <v>High</v>
      </c>
      <c r="T507" t="str">
        <f t="shared" si="61"/>
        <v>7</v>
      </c>
      <c r="U507">
        <v>4.2</v>
      </c>
      <c r="V507" t="b">
        <f t="shared" si="63"/>
        <v>1</v>
      </c>
    </row>
    <row r="508" spans="1:22" x14ac:dyDescent="0.25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 t="s">
        <v>16</v>
      </c>
      <c r="H508" t="s">
        <v>17</v>
      </c>
      <c r="I508">
        <v>6.5</v>
      </c>
      <c r="J508">
        <v>5</v>
      </c>
      <c r="K508" t="s">
        <v>18</v>
      </c>
      <c r="L508">
        <v>4</v>
      </c>
      <c r="M508">
        <v>8</v>
      </c>
      <c r="N508" t="str">
        <f t="shared" si="56"/>
        <v>Instagram</v>
      </c>
      <c r="O508">
        <f t="shared" si="57"/>
        <v>1</v>
      </c>
      <c r="P508" t="str">
        <f t="shared" si="58"/>
        <v>6.5</v>
      </c>
      <c r="Q508" t="str">
        <f t="shared" si="59"/>
        <v>OK</v>
      </c>
      <c r="R508" t="b">
        <f t="shared" si="62"/>
        <v>1</v>
      </c>
      <c r="S508" t="str">
        <f t="shared" si="60"/>
        <v>High</v>
      </c>
      <c r="T508" t="str">
        <f t="shared" si="61"/>
        <v>8</v>
      </c>
      <c r="U508">
        <v>4.2</v>
      </c>
      <c r="V508" t="b">
        <f t="shared" si="63"/>
        <v>1</v>
      </c>
    </row>
    <row r="509" spans="1:22" x14ac:dyDescent="0.25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4.2</v>
      </c>
      <c r="G509" t="s">
        <v>32</v>
      </c>
      <c r="H509" t="s">
        <v>23</v>
      </c>
      <c r="I509">
        <v>7.9</v>
      </c>
      <c r="J509">
        <v>7</v>
      </c>
      <c r="K509" t="s">
        <v>24</v>
      </c>
      <c r="L509">
        <v>2</v>
      </c>
      <c r="M509">
        <v>5</v>
      </c>
      <c r="N509" t="str">
        <f t="shared" si="56"/>
        <v>Facebook</v>
      </c>
      <c r="O509">
        <f t="shared" si="57"/>
        <v>0</v>
      </c>
      <c r="P509" t="str">
        <f t="shared" si="58"/>
        <v>7.9</v>
      </c>
      <c r="Q509" t="str">
        <f t="shared" si="59"/>
        <v>OK</v>
      </c>
      <c r="R509" t="str">
        <f t="shared" si="62"/>
        <v>medium</v>
      </c>
      <c r="S509" t="str">
        <f t="shared" si="60"/>
        <v>Medium</v>
      </c>
      <c r="T509" t="str">
        <f t="shared" si="61"/>
        <v>5</v>
      </c>
      <c r="U509">
        <v>4.2</v>
      </c>
      <c r="V509" t="b">
        <f t="shared" si="63"/>
        <v>1</v>
      </c>
    </row>
    <row r="510" spans="1:22" x14ac:dyDescent="0.25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6.8</v>
      </c>
      <c r="G510" t="s">
        <v>143</v>
      </c>
      <c r="H510" t="s">
        <v>17</v>
      </c>
      <c r="I510">
        <v>6</v>
      </c>
      <c r="J510">
        <v>5</v>
      </c>
      <c r="K510" t="s">
        <v>18</v>
      </c>
      <c r="L510">
        <v>4</v>
      </c>
      <c r="M510">
        <v>8</v>
      </c>
      <c r="N510" t="str">
        <f t="shared" si="56"/>
        <v>Whatsapp</v>
      </c>
      <c r="O510">
        <f t="shared" si="57"/>
        <v>1</v>
      </c>
      <c r="P510" t="str">
        <f t="shared" si="58"/>
        <v>6</v>
      </c>
      <c r="Q510" t="str">
        <f t="shared" si="59"/>
        <v>OK</v>
      </c>
      <c r="R510" t="b">
        <f t="shared" si="62"/>
        <v>1</v>
      </c>
      <c r="S510" t="str">
        <f t="shared" si="60"/>
        <v>High</v>
      </c>
      <c r="T510" t="str">
        <f t="shared" si="61"/>
        <v>8</v>
      </c>
      <c r="U510">
        <v>4.2</v>
      </c>
      <c r="V510" t="b">
        <f t="shared" si="63"/>
        <v>1</v>
      </c>
    </row>
    <row r="511" spans="1:22" x14ac:dyDescent="0.25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4.8</v>
      </c>
      <c r="G511" t="s">
        <v>16</v>
      </c>
      <c r="H511" t="s">
        <v>17</v>
      </c>
      <c r="I511">
        <v>7.4</v>
      </c>
      <c r="J511">
        <v>7</v>
      </c>
      <c r="K511" t="s">
        <v>24</v>
      </c>
      <c r="L511">
        <v>3</v>
      </c>
      <c r="M511">
        <v>6</v>
      </c>
      <c r="N511" t="str">
        <f t="shared" si="56"/>
        <v>Instagram</v>
      </c>
      <c r="O511">
        <f t="shared" si="57"/>
        <v>1</v>
      </c>
      <c r="P511" t="str">
        <f t="shared" si="58"/>
        <v>7.4</v>
      </c>
      <c r="Q511" t="str">
        <f t="shared" si="59"/>
        <v>OK</v>
      </c>
      <c r="R511" t="str">
        <f t="shared" si="62"/>
        <v>medium</v>
      </c>
      <c r="S511" t="str">
        <f t="shared" si="60"/>
        <v>Medium</v>
      </c>
      <c r="T511" t="str">
        <f t="shared" si="61"/>
        <v>6</v>
      </c>
      <c r="U511">
        <v>4.2</v>
      </c>
      <c r="V511" t="b">
        <f t="shared" si="63"/>
        <v>1</v>
      </c>
    </row>
    <row r="512" spans="1:22" x14ac:dyDescent="0.25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6.1</v>
      </c>
      <c r="G512" t="s">
        <v>16</v>
      </c>
      <c r="H512" t="s">
        <v>17</v>
      </c>
      <c r="I512">
        <v>6.4</v>
      </c>
      <c r="J512">
        <v>6</v>
      </c>
      <c r="K512" t="s">
        <v>24</v>
      </c>
      <c r="L512">
        <v>3</v>
      </c>
      <c r="M512">
        <v>7</v>
      </c>
      <c r="N512" t="str">
        <f t="shared" si="56"/>
        <v>Instagram</v>
      </c>
      <c r="O512">
        <f t="shared" si="57"/>
        <v>1</v>
      </c>
      <c r="P512" t="str">
        <f t="shared" si="58"/>
        <v>6.4</v>
      </c>
      <c r="Q512" t="str">
        <f t="shared" si="59"/>
        <v>OK</v>
      </c>
      <c r="R512" t="b">
        <f t="shared" si="62"/>
        <v>1</v>
      </c>
      <c r="S512" t="str">
        <f t="shared" si="60"/>
        <v>High</v>
      </c>
      <c r="T512" t="str">
        <f t="shared" si="61"/>
        <v>7</v>
      </c>
      <c r="U512">
        <v>4.2</v>
      </c>
      <c r="V512" t="b">
        <f t="shared" si="63"/>
        <v>1</v>
      </c>
    </row>
    <row r="513" spans="1:22" x14ac:dyDescent="0.25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4.4000000000000004</v>
      </c>
      <c r="G513" t="s">
        <v>144</v>
      </c>
      <c r="H513" t="s">
        <v>23</v>
      </c>
      <c r="I513">
        <v>7.9</v>
      </c>
      <c r="J513">
        <v>7</v>
      </c>
      <c r="K513" t="s">
        <v>18</v>
      </c>
      <c r="L513">
        <v>2</v>
      </c>
      <c r="M513">
        <v>5</v>
      </c>
      <c r="N513" t="str">
        <f t="shared" si="56"/>
        <v>Wechat</v>
      </c>
      <c r="O513">
        <f t="shared" si="57"/>
        <v>1</v>
      </c>
      <c r="P513" t="str">
        <f t="shared" si="58"/>
        <v>7.9</v>
      </c>
      <c r="Q513" t="str">
        <f t="shared" si="59"/>
        <v>OK</v>
      </c>
      <c r="R513" t="str">
        <f t="shared" si="62"/>
        <v>medium</v>
      </c>
      <c r="S513" t="str">
        <f t="shared" si="60"/>
        <v>Medium</v>
      </c>
      <c r="T513" t="str">
        <f t="shared" si="61"/>
        <v>5</v>
      </c>
      <c r="U513">
        <v>4.2</v>
      </c>
      <c r="V513" t="b">
        <f t="shared" si="63"/>
        <v>1</v>
      </c>
    </row>
    <row r="514" spans="1:22" x14ac:dyDescent="0.25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3.7</v>
      </c>
      <c r="G514" t="s">
        <v>26</v>
      </c>
      <c r="H514" t="s">
        <v>23</v>
      </c>
      <c r="I514">
        <v>8.3000000000000007</v>
      </c>
      <c r="J514">
        <v>8</v>
      </c>
      <c r="K514" t="s">
        <v>24</v>
      </c>
      <c r="L514">
        <v>2</v>
      </c>
      <c r="M514">
        <v>4</v>
      </c>
      <c r="N514" t="str">
        <f t="shared" ref="N514:N577" si="64">PROPER(G514)</f>
        <v>Tiktok</v>
      </c>
      <c r="O514">
        <f t="shared" ref="O514:O577" si="65">LEN(G514)-LEN(SUBSTITUTE(UPPER(G514),"T",""))</f>
        <v>2</v>
      </c>
      <c r="P514" t="str">
        <f t="shared" ref="P514:P577" si="66">PROPER(I514)</f>
        <v>8.3</v>
      </c>
      <c r="Q514" t="str">
        <f t="shared" ref="Q514:Q577" si="67">(IF(I514&gt;=5,"OK",IF(I514&lt;5,"LESS SLEEP")))</f>
        <v>OK</v>
      </c>
      <c r="R514" t="str">
        <f t="shared" si="62"/>
        <v>medium</v>
      </c>
      <c r="S514" t="str">
        <f t="shared" ref="S514:S577" si="68">IF(M514&gt;=7,"High",IF(AND(M514&gt;4,M514&lt;7),"Medium","Low"))</f>
        <v>Low</v>
      </c>
      <c r="T514" t="str">
        <f t="shared" ref="T514:T577" si="69">PROPER(M514)</f>
        <v>4</v>
      </c>
      <c r="U514">
        <v>4.2</v>
      </c>
      <c r="V514" t="b">
        <f t="shared" si="63"/>
        <v>1</v>
      </c>
    </row>
    <row r="515" spans="1:22" x14ac:dyDescent="0.25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4.5999999999999996</v>
      </c>
      <c r="G515" t="s">
        <v>16</v>
      </c>
      <c r="H515" t="s">
        <v>17</v>
      </c>
      <c r="I515">
        <v>7.6</v>
      </c>
      <c r="J515">
        <v>7</v>
      </c>
      <c r="K515" t="s">
        <v>18</v>
      </c>
      <c r="L515">
        <v>3</v>
      </c>
      <c r="M515">
        <v>6</v>
      </c>
      <c r="N515" t="str">
        <f t="shared" si="64"/>
        <v>Instagram</v>
      </c>
      <c r="O515">
        <f t="shared" si="65"/>
        <v>1</v>
      </c>
      <c r="P515" t="str">
        <f t="shared" si="66"/>
        <v>7.6</v>
      </c>
      <c r="Q515" t="str">
        <f t="shared" si="67"/>
        <v>OK</v>
      </c>
      <c r="R515" t="str">
        <f t="shared" si="62"/>
        <v>medium</v>
      </c>
      <c r="S515" t="str">
        <f t="shared" si="68"/>
        <v>Medium</v>
      </c>
      <c r="T515" t="str">
        <f t="shared" si="69"/>
        <v>6</v>
      </c>
      <c r="U515">
        <v>4.2</v>
      </c>
      <c r="V515" t="b">
        <f t="shared" si="63"/>
        <v>1</v>
      </c>
    </row>
    <row r="516" spans="1:22" x14ac:dyDescent="0.25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5.2</v>
      </c>
      <c r="G516" t="s">
        <v>26</v>
      </c>
      <c r="H516" t="s">
        <v>17</v>
      </c>
      <c r="I516">
        <v>6.9</v>
      </c>
      <c r="J516">
        <v>6</v>
      </c>
      <c r="K516" t="s">
        <v>24</v>
      </c>
      <c r="L516">
        <v>3</v>
      </c>
      <c r="M516">
        <v>7</v>
      </c>
      <c r="N516" t="str">
        <f t="shared" si="64"/>
        <v>Tiktok</v>
      </c>
      <c r="O516">
        <f t="shared" si="65"/>
        <v>2</v>
      </c>
      <c r="P516" t="str">
        <f t="shared" si="66"/>
        <v>6.9</v>
      </c>
      <c r="Q516" t="str">
        <f t="shared" si="67"/>
        <v>OK</v>
      </c>
      <c r="R516" t="b">
        <f t="shared" ref="R516:R579" si="70">IF(M516&gt;=7,"High"&amp;M516&gt;=4,"medium")</f>
        <v>1</v>
      </c>
      <c r="S516" t="str">
        <f t="shared" si="68"/>
        <v>High</v>
      </c>
      <c r="T516" t="str">
        <f t="shared" si="69"/>
        <v>7</v>
      </c>
      <c r="U516">
        <v>4.2</v>
      </c>
      <c r="V516" t="b">
        <f t="shared" ref="V516:V579" si="71">IF(Q516&gt;=7,"High"&amp;Q516&gt;=4,"medium")</f>
        <v>1</v>
      </c>
    </row>
    <row r="517" spans="1:22" x14ac:dyDescent="0.25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5.6</v>
      </c>
      <c r="G517" t="s">
        <v>143</v>
      </c>
      <c r="H517" t="s">
        <v>17</v>
      </c>
      <c r="I517">
        <v>6.7</v>
      </c>
      <c r="J517">
        <v>6</v>
      </c>
      <c r="K517" t="s">
        <v>24</v>
      </c>
      <c r="L517">
        <v>3</v>
      </c>
      <c r="M517">
        <v>7</v>
      </c>
      <c r="N517" t="str">
        <f t="shared" si="64"/>
        <v>Whatsapp</v>
      </c>
      <c r="O517">
        <f t="shared" si="65"/>
        <v>1</v>
      </c>
      <c r="P517" t="str">
        <f t="shared" si="66"/>
        <v>6.7</v>
      </c>
      <c r="Q517" t="str">
        <f t="shared" si="67"/>
        <v>OK</v>
      </c>
      <c r="R517" t="b">
        <f t="shared" si="70"/>
        <v>1</v>
      </c>
      <c r="S517" t="str">
        <f t="shared" si="68"/>
        <v>High</v>
      </c>
      <c r="T517" t="str">
        <f t="shared" si="69"/>
        <v>7</v>
      </c>
      <c r="U517">
        <v>4.2</v>
      </c>
      <c r="V517" t="b">
        <f t="shared" si="71"/>
        <v>1</v>
      </c>
    </row>
    <row r="518" spans="1:22" x14ac:dyDescent="0.25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6.6</v>
      </c>
      <c r="G518" t="s">
        <v>16</v>
      </c>
      <c r="H518" t="s">
        <v>17</v>
      </c>
      <c r="I518">
        <v>6.4</v>
      </c>
      <c r="J518">
        <v>5</v>
      </c>
      <c r="K518" t="s">
        <v>18</v>
      </c>
      <c r="L518">
        <v>4</v>
      </c>
      <c r="M518">
        <v>8</v>
      </c>
      <c r="N518" t="str">
        <f t="shared" si="64"/>
        <v>Instagram</v>
      </c>
      <c r="O518">
        <f t="shared" si="65"/>
        <v>1</v>
      </c>
      <c r="P518" t="str">
        <f t="shared" si="66"/>
        <v>6.4</v>
      </c>
      <c r="Q518" t="str">
        <f t="shared" si="67"/>
        <v>OK</v>
      </c>
      <c r="R518" t="b">
        <f t="shared" si="70"/>
        <v>1</v>
      </c>
      <c r="S518" t="str">
        <f t="shared" si="68"/>
        <v>High</v>
      </c>
      <c r="T518" t="str">
        <f t="shared" si="69"/>
        <v>8</v>
      </c>
      <c r="U518">
        <v>4.2</v>
      </c>
      <c r="V518" t="b">
        <f t="shared" si="71"/>
        <v>1</v>
      </c>
    </row>
    <row r="519" spans="1:22" x14ac:dyDescent="0.25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4.0999999999999996</v>
      </c>
      <c r="G519" t="s">
        <v>32</v>
      </c>
      <c r="H519" t="s">
        <v>23</v>
      </c>
      <c r="I519">
        <v>8</v>
      </c>
      <c r="J519">
        <v>7</v>
      </c>
      <c r="K519" t="s">
        <v>24</v>
      </c>
      <c r="L519">
        <v>2</v>
      </c>
      <c r="M519">
        <v>5</v>
      </c>
      <c r="N519" t="str">
        <f t="shared" si="64"/>
        <v>Facebook</v>
      </c>
      <c r="O519">
        <f t="shared" si="65"/>
        <v>0</v>
      </c>
      <c r="P519" t="str">
        <f t="shared" si="66"/>
        <v>8</v>
      </c>
      <c r="Q519" t="str">
        <f t="shared" si="67"/>
        <v>OK</v>
      </c>
      <c r="R519" t="str">
        <f t="shared" si="70"/>
        <v>medium</v>
      </c>
      <c r="S519" t="str">
        <f t="shared" si="68"/>
        <v>Medium</v>
      </c>
      <c r="T519" t="str">
        <f t="shared" si="69"/>
        <v>5</v>
      </c>
      <c r="U519">
        <v>4.2</v>
      </c>
      <c r="V519" t="b">
        <f t="shared" si="71"/>
        <v>1</v>
      </c>
    </row>
    <row r="520" spans="1:22" x14ac:dyDescent="0.25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6.9</v>
      </c>
      <c r="G520" t="s">
        <v>143</v>
      </c>
      <c r="H520" t="s">
        <v>17</v>
      </c>
      <c r="I520">
        <v>5.9</v>
      </c>
      <c r="J520">
        <v>5</v>
      </c>
      <c r="K520" t="s">
        <v>18</v>
      </c>
      <c r="L520">
        <v>4</v>
      </c>
      <c r="M520">
        <v>8</v>
      </c>
      <c r="N520" t="str">
        <f t="shared" si="64"/>
        <v>Whatsapp</v>
      </c>
      <c r="O520">
        <f t="shared" si="65"/>
        <v>1</v>
      </c>
      <c r="P520" t="str">
        <f t="shared" si="66"/>
        <v>5.9</v>
      </c>
      <c r="Q520" t="str">
        <f t="shared" si="67"/>
        <v>OK</v>
      </c>
      <c r="R520" t="b">
        <f t="shared" si="70"/>
        <v>1</v>
      </c>
      <c r="S520" t="str">
        <f t="shared" si="68"/>
        <v>High</v>
      </c>
      <c r="T520" t="str">
        <f t="shared" si="69"/>
        <v>8</v>
      </c>
      <c r="U520">
        <v>4.2</v>
      </c>
      <c r="V520" t="b">
        <f t="shared" si="71"/>
        <v>1</v>
      </c>
    </row>
    <row r="521" spans="1:22" x14ac:dyDescent="0.25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4.7</v>
      </c>
      <c r="G521" t="s">
        <v>26</v>
      </c>
      <c r="H521" t="s">
        <v>17</v>
      </c>
      <c r="I521">
        <v>7.5</v>
      </c>
      <c r="J521">
        <v>7</v>
      </c>
      <c r="K521" t="s">
        <v>24</v>
      </c>
      <c r="L521">
        <v>3</v>
      </c>
      <c r="M521">
        <v>6</v>
      </c>
      <c r="N521" t="str">
        <f t="shared" si="64"/>
        <v>Tiktok</v>
      </c>
      <c r="O521">
        <f t="shared" si="65"/>
        <v>2</v>
      </c>
      <c r="P521" t="str">
        <f t="shared" si="66"/>
        <v>7.5</v>
      </c>
      <c r="Q521" t="str">
        <f t="shared" si="67"/>
        <v>OK</v>
      </c>
      <c r="R521" t="str">
        <f t="shared" si="70"/>
        <v>medium</v>
      </c>
      <c r="S521" t="str">
        <f t="shared" si="68"/>
        <v>Medium</v>
      </c>
      <c r="T521" t="str">
        <f t="shared" si="69"/>
        <v>6</v>
      </c>
      <c r="U521">
        <v>4.0999999999999996</v>
      </c>
      <c r="V521" t="b">
        <f t="shared" si="71"/>
        <v>1</v>
      </c>
    </row>
    <row r="522" spans="1:22" x14ac:dyDescent="0.25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</v>
      </c>
      <c r="G522" t="s">
        <v>143</v>
      </c>
      <c r="H522" t="s">
        <v>17</v>
      </c>
      <c r="I522">
        <v>6.5</v>
      </c>
      <c r="J522">
        <v>6</v>
      </c>
      <c r="K522" t="s">
        <v>24</v>
      </c>
      <c r="L522">
        <v>3</v>
      </c>
      <c r="M522">
        <v>7</v>
      </c>
      <c r="N522" t="str">
        <f t="shared" si="64"/>
        <v>Whatsapp</v>
      </c>
      <c r="O522">
        <f t="shared" si="65"/>
        <v>1</v>
      </c>
      <c r="P522" t="str">
        <f t="shared" si="66"/>
        <v>6.5</v>
      </c>
      <c r="Q522" t="str">
        <f t="shared" si="67"/>
        <v>OK</v>
      </c>
      <c r="R522" t="b">
        <f t="shared" si="70"/>
        <v>1</v>
      </c>
      <c r="S522" t="str">
        <f t="shared" si="68"/>
        <v>High</v>
      </c>
      <c r="T522" t="str">
        <f t="shared" si="69"/>
        <v>7</v>
      </c>
      <c r="U522">
        <v>4.0999999999999996</v>
      </c>
      <c r="V522" t="b">
        <f t="shared" si="71"/>
        <v>1</v>
      </c>
    </row>
    <row r="523" spans="1:22" x14ac:dyDescent="0.25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4.3</v>
      </c>
      <c r="G523" t="s">
        <v>144</v>
      </c>
      <c r="H523" t="s">
        <v>23</v>
      </c>
      <c r="I523">
        <v>8</v>
      </c>
      <c r="J523">
        <v>7</v>
      </c>
      <c r="K523" t="s">
        <v>18</v>
      </c>
      <c r="L523">
        <v>2</v>
      </c>
      <c r="M523">
        <v>5</v>
      </c>
      <c r="N523" t="str">
        <f t="shared" si="64"/>
        <v>Wechat</v>
      </c>
      <c r="O523">
        <f t="shared" si="65"/>
        <v>1</v>
      </c>
      <c r="P523" t="str">
        <f t="shared" si="66"/>
        <v>8</v>
      </c>
      <c r="Q523" t="str">
        <f t="shared" si="67"/>
        <v>OK</v>
      </c>
      <c r="R523" t="str">
        <f t="shared" si="70"/>
        <v>medium</v>
      </c>
      <c r="S523" t="str">
        <f t="shared" si="68"/>
        <v>Medium</v>
      </c>
      <c r="T523" t="str">
        <f t="shared" si="69"/>
        <v>5</v>
      </c>
      <c r="U523">
        <v>4.0999999999999996</v>
      </c>
      <c r="V523" t="b">
        <f t="shared" si="71"/>
        <v>1</v>
      </c>
    </row>
    <row r="524" spans="1:22" x14ac:dyDescent="0.25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3.6</v>
      </c>
      <c r="G524" t="s">
        <v>16</v>
      </c>
      <c r="H524" t="s">
        <v>23</v>
      </c>
      <c r="I524">
        <v>8.4</v>
      </c>
      <c r="J524">
        <v>8</v>
      </c>
      <c r="K524" t="s">
        <v>24</v>
      </c>
      <c r="L524">
        <v>2</v>
      </c>
      <c r="M524">
        <v>4</v>
      </c>
      <c r="N524" t="str">
        <f t="shared" si="64"/>
        <v>Instagram</v>
      </c>
      <c r="O524">
        <f t="shared" si="65"/>
        <v>1</v>
      </c>
      <c r="P524" t="str">
        <f t="shared" si="66"/>
        <v>8.4</v>
      </c>
      <c r="Q524" t="str">
        <f t="shared" si="67"/>
        <v>OK</v>
      </c>
      <c r="R524" t="str">
        <f t="shared" si="70"/>
        <v>medium</v>
      </c>
      <c r="S524" t="str">
        <f t="shared" si="68"/>
        <v>Low</v>
      </c>
      <c r="T524" t="str">
        <f t="shared" si="69"/>
        <v>4</v>
      </c>
      <c r="U524">
        <v>4.0999999999999996</v>
      </c>
      <c r="V524" t="b">
        <f t="shared" si="71"/>
        <v>1</v>
      </c>
    </row>
    <row r="525" spans="1:22" x14ac:dyDescent="0.25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4.5</v>
      </c>
      <c r="G525" t="s">
        <v>32</v>
      </c>
      <c r="H525" t="s">
        <v>17</v>
      </c>
      <c r="I525">
        <v>7.7</v>
      </c>
      <c r="J525">
        <v>7</v>
      </c>
      <c r="K525" t="s">
        <v>18</v>
      </c>
      <c r="L525">
        <v>3</v>
      </c>
      <c r="M525">
        <v>6</v>
      </c>
      <c r="N525" t="str">
        <f t="shared" si="64"/>
        <v>Facebook</v>
      </c>
      <c r="O525">
        <f t="shared" si="65"/>
        <v>0</v>
      </c>
      <c r="P525" t="str">
        <f t="shared" si="66"/>
        <v>7.7</v>
      </c>
      <c r="Q525" t="str">
        <f t="shared" si="67"/>
        <v>OK</v>
      </c>
      <c r="R525" t="str">
        <f t="shared" si="70"/>
        <v>medium</v>
      </c>
      <c r="S525" t="str">
        <f t="shared" si="68"/>
        <v>Medium</v>
      </c>
      <c r="T525" t="str">
        <f t="shared" si="69"/>
        <v>6</v>
      </c>
      <c r="U525">
        <v>4.0999999999999996</v>
      </c>
      <c r="V525" t="b">
        <f t="shared" si="71"/>
        <v>1</v>
      </c>
    </row>
    <row r="526" spans="1:22" x14ac:dyDescent="0.25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5.3</v>
      </c>
      <c r="G526" t="s">
        <v>26</v>
      </c>
      <c r="H526" t="s">
        <v>17</v>
      </c>
      <c r="I526">
        <v>6.8</v>
      </c>
      <c r="J526">
        <v>6</v>
      </c>
      <c r="K526" t="s">
        <v>24</v>
      </c>
      <c r="L526">
        <v>3</v>
      </c>
      <c r="M526">
        <v>7</v>
      </c>
      <c r="N526" t="str">
        <f t="shared" si="64"/>
        <v>Tiktok</v>
      </c>
      <c r="O526">
        <f t="shared" si="65"/>
        <v>2</v>
      </c>
      <c r="P526" t="str">
        <f t="shared" si="66"/>
        <v>6.8</v>
      </c>
      <c r="Q526" t="str">
        <f t="shared" si="67"/>
        <v>OK</v>
      </c>
      <c r="R526" t="b">
        <f t="shared" si="70"/>
        <v>1</v>
      </c>
      <c r="S526" t="str">
        <f t="shared" si="68"/>
        <v>High</v>
      </c>
      <c r="T526" t="str">
        <f t="shared" si="69"/>
        <v>7</v>
      </c>
      <c r="U526">
        <v>4.0999999999999996</v>
      </c>
      <c r="V526" t="b">
        <f t="shared" si="71"/>
        <v>1</v>
      </c>
    </row>
    <row r="527" spans="1:22" x14ac:dyDescent="0.25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5.7</v>
      </c>
      <c r="G527" t="s">
        <v>143</v>
      </c>
      <c r="H527" t="s">
        <v>17</v>
      </c>
      <c r="I527">
        <v>6.6</v>
      </c>
      <c r="J527">
        <v>6</v>
      </c>
      <c r="K527" t="s">
        <v>24</v>
      </c>
      <c r="L527">
        <v>3</v>
      </c>
      <c r="M527">
        <v>7</v>
      </c>
      <c r="N527" t="str">
        <f t="shared" si="64"/>
        <v>Whatsapp</v>
      </c>
      <c r="O527">
        <f t="shared" si="65"/>
        <v>1</v>
      </c>
      <c r="P527" t="str">
        <f t="shared" si="66"/>
        <v>6.6</v>
      </c>
      <c r="Q527" t="str">
        <f t="shared" si="67"/>
        <v>OK</v>
      </c>
      <c r="R527" t="b">
        <f t="shared" si="70"/>
        <v>1</v>
      </c>
      <c r="S527" t="str">
        <f t="shared" si="68"/>
        <v>High</v>
      </c>
      <c r="T527" t="str">
        <f t="shared" si="69"/>
        <v>7</v>
      </c>
      <c r="U527">
        <v>4.0999999999999996</v>
      </c>
      <c r="V527" t="b">
        <f t="shared" si="71"/>
        <v>1</v>
      </c>
    </row>
    <row r="528" spans="1:22" x14ac:dyDescent="0.25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6.7</v>
      </c>
      <c r="G528" t="s">
        <v>16</v>
      </c>
      <c r="H528" t="s">
        <v>17</v>
      </c>
      <c r="I528">
        <v>6.3</v>
      </c>
      <c r="J528">
        <v>5</v>
      </c>
      <c r="K528" t="s">
        <v>18</v>
      </c>
      <c r="L528">
        <v>4</v>
      </c>
      <c r="M528">
        <v>8</v>
      </c>
      <c r="N528" t="str">
        <f t="shared" si="64"/>
        <v>Instagram</v>
      </c>
      <c r="O528">
        <f t="shared" si="65"/>
        <v>1</v>
      </c>
      <c r="P528" t="str">
        <f t="shared" si="66"/>
        <v>6.3</v>
      </c>
      <c r="Q528" t="str">
        <f t="shared" si="67"/>
        <v>OK</v>
      </c>
      <c r="R528" t="b">
        <f t="shared" si="70"/>
        <v>1</v>
      </c>
      <c r="S528" t="str">
        <f t="shared" si="68"/>
        <v>High</v>
      </c>
      <c r="T528" t="str">
        <f t="shared" si="69"/>
        <v>8</v>
      </c>
      <c r="U528">
        <v>4.0999999999999996</v>
      </c>
      <c r="V528" t="b">
        <f t="shared" si="71"/>
        <v>1</v>
      </c>
    </row>
    <row r="529" spans="1:22" x14ac:dyDescent="0.25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4</v>
      </c>
      <c r="G529" t="s">
        <v>32</v>
      </c>
      <c r="H529" t="s">
        <v>23</v>
      </c>
      <c r="I529">
        <v>8.1</v>
      </c>
      <c r="J529">
        <v>7</v>
      </c>
      <c r="K529" t="s">
        <v>24</v>
      </c>
      <c r="L529">
        <v>2</v>
      </c>
      <c r="M529">
        <v>5</v>
      </c>
      <c r="N529" t="str">
        <f t="shared" si="64"/>
        <v>Facebook</v>
      </c>
      <c r="O529">
        <f t="shared" si="65"/>
        <v>0</v>
      </c>
      <c r="P529" t="str">
        <f t="shared" si="66"/>
        <v>8.1</v>
      </c>
      <c r="Q529" t="str">
        <f t="shared" si="67"/>
        <v>OK</v>
      </c>
      <c r="R529" t="str">
        <f t="shared" si="70"/>
        <v>medium</v>
      </c>
      <c r="S529" t="str">
        <f t="shared" si="68"/>
        <v>Medium</v>
      </c>
      <c r="T529" t="str">
        <f t="shared" si="69"/>
        <v>5</v>
      </c>
      <c r="U529">
        <v>4.0999999999999996</v>
      </c>
      <c r="V529" t="b">
        <f t="shared" si="71"/>
        <v>1</v>
      </c>
    </row>
    <row r="530" spans="1:22" x14ac:dyDescent="0.25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7</v>
      </c>
      <c r="G530" t="s">
        <v>143</v>
      </c>
      <c r="H530" t="s">
        <v>17</v>
      </c>
      <c r="I530">
        <v>5.8</v>
      </c>
      <c r="J530">
        <v>5</v>
      </c>
      <c r="K530" t="s">
        <v>18</v>
      </c>
      <c r="L530">
        <v>4</v>
      </c>
      <c r="M530">
        <v>8</v>
      </c>
      <c r="N530" t="str">
        <f t="shared" si="64"/>
        <v>Whatsapp</v>
      </c>
      <c r="O530">
        <f t="shared" si="65"/>
        <v>1</v>
      </c>
      <c r="P530" t="str">
        <f t="shared" si="66"/>
        <v>5.8</v>
      </c>
      <c r="Q530" t="str">
        <f t="shared" si="67"/>
        <v>OK</v>
      </c>
      <c r="R530" t="b">
        <f t="shared" si="70"/>
        <v>1</v>
      </c>
      <c r="S530" t="str">
        <f t="shared" si="68"/>
        <v>High</v>
      </c>
      <c r="T530" t="str">
        <f t="shared" si="69"/>
        <v>8</v>
      </c>
      <c r="U530">
        <v>4.0999999999999996</v>
      </c>
      <c r="V530" t="b">
        <f t="shared" si="71"/>
        <v>1</v>
      </c>
    </row>
    <row r="531" spans="1:22" x14ac:dyDescent="0.25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4.5999999999999996</v>
      </c>
      <c r="G531" t="s">
        <v>16</v>
      </c>
      <c r="H531" t="s">
        <v>17</v>
      </c>
      <c r="I531">
        <v>7.6</v>
      </c>
      <c r="J531">
        <v>7</v>
      </c>
      <c r="K531" t="s">
        <v>24</v>
      </c>
      <c r="L531">
        <v>3</v>
      </c>
      <c r="M531">
        <v>6</v>
      </c>
      <c r="N531" t="str">
        <f t="shared" si="64"/>
        <v>Instagram</v>
      </c>
      <c r="O531">
        <f t="shared" si="65"/>
        <v>1</v>
      </c>
      <c r="P531" t="str">
        <f t="shared" si="66"/>
        <v>7.6</v>
      </c>
      <c r="Q531" t="str">
        <f t="shared" si="67"/>
        <v>OK</v>
      </c>
      <c r="R531" t="str">
        <f t="shared" si="70"/>
        <v>medium</v>
      </c>
      <c r="S531" t="str">
        <f t="shared" si="68"/>
        <v>Medium</v>
      </c>
      <c r="T531" t="str">
        <f t="shared" si="69"/>
        <v>6</v>
      </c>
      <c r="U531">
        <v>4.0999999999999996</v>
      </c>
      <c r="V531" t="b">
        <f t="shared" si="71"/>
        <v>1</v>
      </c>
    </row>
    <row r="532" spans="1:22" x14ac:dyDescent="0.25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5.9</v>
      </c>
      <c r="G532" t="s">
        <v>26</v>
      </c>
      <c r="H532" t="s">
        <v>17</v>
      </c>
      <c r="I532">
        <v>6.6</v>
      </c>
      <c r="J532">
        <v>6</v>
      </c>
      <c r="K532" t="s">
        <v>24</v>
      </c>
      <c r="L532">
        <v>3</v>
      </c>
      <c r="M532">
        <v>7</v>
      </c>
      <c r="N532" t="str">
        <f t="shared" si="64"/>
        <v>Tiktok</v>
      </c>
      <c r="O532">
        <f t="shared" si="65"/>
        <v>2</v>
      </c>
      <c r="P532" t="str">
        <f t="shared" si="66"/>
        <v>6.6</v>
      </c>
      <c r="Q532" t="str">
        <f t="shared" si="67"/>
        <v>OK</v>
      </c>
      <c r="R532" t="b">
        <f t="shared" si="70"/>
        <v>1</v>
      </c>
      <c r="S532" t="str">
        <f t="shared" si="68"/>
        <v>High</v>
      </c>
      <c r="T532" t="str">
        <f t="shared" si="69"/>
        <v>7</v>
      </c>
      <c r="U532">
        <v>4.0999999999999996</v>
      </c>
      <c r="V532" t="b">
        <f t="shared" si="71"/>
        <v>1</v>
      </c>
    </row>
    <row r="533" spans="1:22" x14ac:dyDescent="0.25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4.2</v>
      </c>
      <c r="G533" t="s">
        <v>144</v>
      </c>
      <c r="H533" t="s">
        <v>23</v>
      </c>
      <c r="I533">
        <v>8.1</v>
      </c>
      <c r="J533">
        <v>7</v>
      </c>
      <c r="K533" t="s">
        <v>18</v>
      </c>
      <c r="L533">
        <v>2</v>
      </c>
      <c r="M533">
        <v>5</v>
      </c>
      <c r="N533" t="str">
        <f t="shared" si="64"/>
        <v>Wechat</v>
      </c>
      <c r="O533">
        <f t="shared" si="65"/>
        <v>1</v>
      </c>
      <c r="P533" t="str">
        <f t="shared" si="66"/>
        <v>8.1</v>
      </c>
      <c r="Q533" t="str">
        <f t="shared" si="67"/>
        <v>OK</v>
      </c>
      <c r="R533" t="str">
        <f t="shared" si="70"/>
        <v>medium</v>
      </c>
      <c r="S533" t="str">
        <f t="shared" si="68"/>
        <v>Medium</v>
      </c>
      <c r="T533" t="str">
        <f t="shared" si="69"/>
        <v>5</v>
      </c>
      <c r="U533">
        <v>4.0999999999999996</v>
      </c>
      <c r="V533" t="b">
        <f t="shared" si="71"/>
        <v>1</v>
      </c>
    </row>
    <row r="534" spans="1:22" x14ac:dyDescent="0.25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3.5</v>
      </c>
      <c r="G534" t="s">
        <v>16</v>
      </c>
      <c r="H534" t="s">
        <v>23</v>
      </c>
      <c r="I534">
        <v>8.5</v>
      </c>
      <c r="J534">
        <v>8</v>
      </c>
      <c r="K534" t="s">
        <v>24</v>
      </c>
      <c r="L534">
        <v>2</v>
      </c>
      <c r="M534">
        <v>4</v>
      </c>
      <c r="N534" t="str">
        <f t="shared" si="64"/>
        <v>Instagram</v>
      </c>
      <c r="O534">
        <f t="shared" si="65"/>
        <v>1</v>
      </c>
      <c r="P534" t="str">
        <f t="shared" si="66"/>
        <v>8.5</v>
      </c>
      <c r="Q534" t="str">
        <f t="shared" si="67"/>
        <v>OK</v>
      </c>
      <c r="R534" t="str">
        <f t="shared" si="70"/>
        <v>medium</v>
      </c>
      <c r="S534" t="str">
        <f t="shared" si="68"/>
        <v>Low</v>
      </c>
      <c r="T534" t="str">
        <f t="shared" si="69"/>
        <v>4</v>
      </c>
      <c r="U534">
        <v>4.0999999999999996</v>
      </c>
      <c r="V534" t="b">
        <f t="shared" si="71"/>
        <v>1</v>
      </c>
    </row>
    <row r="535" spans="1:22" x14ac:dyDescent="0.25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4.4000000000000004</v>
      </c>
      <c r="G535" t="s">
        <v>32</v>
      </c>
      <c r="H535" t="s">
        <v>17</v>
      </c>
      <c r="I535">
        <v>7.8</v>
      </c>
      <c r="J535">
        <v>7</v>
      </c>
      <c r="K535" t="s">
        <v>18</v>
      </c>
      <c r="L535">
        <v>3</v>
      </c>
      <c r="M535">
        <v>6</v>
      </c>
      <c r="N535" t="str">
        <f t="shared" si="64"/>
        <v>Facebook</v>
      </c>
      <c r="O535">
        <f t="shared" si="65"/>
        <v>0</v>
      </c>
      <c r="P535" t="str">
        <f t="shared" si="66"/>
        <v>7.8</v>
      </c>
      <c r="Q535" t="str">
        <f t="shared" si="67"/>
        <v>OK</v>
      </c>
      <c r="R535" t="str">
        <f t="shared" si="70"/>
        <v>medium</v>
      </c>
      <c r="S535" t="str">
        <f t="shared" si="68"/>
        <v>Medium</v>
      </c>
      <c r="T535" t="str">
        <f t="shared" si="69"/>
        <v>6</v>
      </c>
      <c r="U535">
        <v>4.0999999999999996</v>
      </c>
      <c r="V535" t="b">
        <f t="shared" si="71"/>
        <v>1</v>
      </c>
    </row>
    <row r="536" spans="1:22" x14ac:dyDescent="0.25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5.4</v>
      </c>
      <c r="G536" t="s">
        <v>26</v>
      </c>
      <c r="H536" t="s">
        <v>17</v>
      </c>
      <c r="I536">
        <v>6.7</v>
      </c>
      <c r="J536">
        <v>6</v>
      </c>
      <c r="K536" t="s">
        <v>24</v>
      </c>
      <c r="L536">
        <v>3</v>
      </c>
      <c r="M536">
        <v>7</v>
      </c>
      <c r="N536" t="str">
        <f t="shared" si="64"/>
        <v>Tiktok</v>
      </c>
      <c r="O536">
        <f t="shared" si="65"/>
        <v>2</v>
      </c>
      <c r="P536" t="str">
        <f t="shared" si="66"/>
        <v>6.7</v>
      </c>
      <c r="Q536" t="str">
        <f t="shared" si="67"/>
        <v>OK</v>
      </c>
      <c r="R536" t="b">
        <f t="shared" si="70"/>
        <v>1</v>
      </c>
      <c r="S536" t="str">
        <f t="shared" si="68"/>
        <v>High</v>
      </c>
      <c r="T536" t="str">
        <f t="shared" si="69"/>
        <v>7</v>
      </c>
      <c r="U536">
        <v>4.0999999999999996</v>
      </c>
      <c r="V536" t="b">
        <f t="shared" si="71"/>
        <v>1</v>
      </c>
    </row>
    <row r="537" spans="1:22" x14ac:dyDescent="0.25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5.8</v>
      </c>
      <c r="G537" t="s">
        <v>143</v>
      </c>
      <c r="H537" t="s">
        <v>17</v>
      </c>
      <c r="I537">
        <v>6.5</v>
      </c>
      <c r="J537">
        <v>6</v>
      </c>
      <c r="K537" t="s">
        <v>24</v>
      </c>
      <c r="L537">
        <v>3</v>
      </c>
      <c r="M537">
        <v>7</v>
      </c>
      <c r="N537" t="str">
        <f t="shared" si="64"/>
        <v>Whatsapp</v>
      </c>
      <c r="O537">
        <f t="shared" si="65"/>
        <v>1</v>
      </c>
      <c r="P537" t="str">
        <f t="shared" si="66"/>
        <v>6.5</v>
      </c>
      <c r="Q537" t="str">
        <f t="shared" si="67"/>
        <v>OK</v>
      </c>
      <c r="R537" t="b">
        <f t="shared" si="70"/>
        <v>1</v>
      </c>
      <c r="S537" t="str">
        <f t="shared" si="68"/>
        <v>High</v>
      </c>
      <c r="T537" t="str">
        <f t="shared" si="69"/>
        <v>7</v>
      </c>
      <c r="U537">
        <v>4.0999999999999996</v>
      </c>
      <c r="V537" t="b">
        <f t="shared" si="71"/>
        <v>1</v>
      </c>
    </row>
    <row r="538" spans="1:22" x14ac:dyDescent="0.25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6.8</v>
      </c>
      <c r="G538" t="s">
        <v>16</v>
      </c>
      <c r="H538" t="s">
        <v>17</v>
      </c>
      <c r="I538">
        <v>6.2</v>
      </c>
      <c r="J538">
        <v>5</v>
      </c>
      <c r="K538" t="s">
        <v>18</v>
      </c>
      <c r="L538">
        <v>4</v>
      </c>
      <c r="M538">
        <v>8</v>
      </c>
      <c r="N538" t="str">
        <f t="shared" si="64"/>
        <v>Instagram</v>
      </c>
      <c r="O538">
        <f t="shared" si="65"/>
        <v>1</v>
      </c>
      <c r="P538" t="str">
        <f t="shared" si="66"/>
        <v>6.2</v>
      </c>
      <c r="Q538" t="str">
        <f t="shared" si="67"/>
        <v>OK</v>
      </c>
      <c r="R538" t="b">
        <f t="shared" si="70"/>
        <v>1</v>
      </c>
      <c r="S538" t="str">
        <f t="shared" si="68"/>
        <v>High</v>
      </c>
      <c r="T538" t="str">
        <f t="shared" si="69"/>
        <v>8</v>
      </c>
      <c r="U538">
        <v>4</v>
      </c>
      <c r="V538" t="b">
        <f t="shared" si="71"/>
        <v>1</v>
      </c>
    </row>
    <row r="539" spans="1:22" x14ac:dyDescent="0.25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3.9</v>
      </c>
      <c r="G539" t="s">
        <v>32</v>
      </c>
      <c r="H539" t="s">
        <v>23</v>
      </c>
      <c r="I539">
        <v>8.1999999999999993</v>
      </c>
      <c r="J539">
        <v>7</v>
      </c>
      <c r="K539" t="s">
        <v>24</v>
      </c>
      <c r="L539">
        <v>2</v>
      </c>
      <c r="M539">
        <v>5</v>
      </c>
      <c r="N539" t="str">
        <f t="shared" si="64"/>
        <v>Facebook</v>
      </c>
      <c r="O539">
        <f t="shared" si="65"/>
        <v>0</v>
      </c>
      <c r="P539" t="str">
        <f t="shared" si="66"/>
        <v>8.2</v>
      </c>
      <c r="Q539" t="str">
        <f t="shared" si="67"/>
        <v>OK</v>
      </c>
      <c r="R539" t="str">
        <f t="shared" si="70"/>
        <v>medium</v>
      </c>
      <c r="S539" t="str">
        <f t="shared" si="68"/>
        <v>Medium</v>
      </c>
      <c r="T539" t="str">
        <f t="shared" si="69"/>
        <v>5</v>
      </c>
      <c r="U539">
        <v>4</v>
      </c>
      <c r="V539" t="b">
        <f t="shared" si="71"/>
        <v>1</v>
      </c>
    </row>
    <row r="540" spans="1:22" x14ac:dyDescent="0.25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7.1</v>
      </c>
      <c r="G540" t="s">
        <v>143</v>
      </c>
      <c r="H540" t="s">
        <v>17</v>
      </c>
      <c r="I540">
        <v>5.7</v>
      </c>
      <c r="J540">
        <v>5</v>
      </c>
      <c r="K540" t="s">
        <v>18</v>
      </c>
      <c r="L540">
        <v>4</v>
      </c>
      <c r="M540">
        <v>8</v>
      </c>
      <c r="N540" t="str">
        <f t="shared" si="64"/>
        <v>Whatsapp</v>
      </c>
      <c r="O540">
        <f t="shared" si="65"/>
        <v>1</v>
      </c>
      <c r="P540" t="str">
        <f t="shared" si="66"/>
        <v>5.7</v>
      </c>
      <c r="Q540" t="str">
        <f t="shared" si="67"/>
        <v>OK</v>
      </c>
      <c r="R540" t="b">
        <f t="shared" si="70"/>
        <v>1</v>
      </c>
      <c r="S540" t="str">
        <f t="shared" si="68"/>
        <v>High</v>
      </c>
      <c r="T540" t="str">
        <f t="shared" si="69"/>
        <v>8</v>
      </c>
      <c r="U540">
        <v>4</v>
      </c>
      <c r="V540" t="b">
        <f t="shared" si="71"/>
        <v>1</v>
      </c>
    </row>
    <row r="541" spans="1:22" x14ac:dyDescent="0.25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4.5</v>
      </c>
      <c r="G541" t="s">
        <v>26</v>
      </c>
      <c r="H541" t="s">
        <v>17</v>
      </c>
      <c r="I541">
        <v>7.7</v>
      </c>
      <c r="J541">
        <v>7</v>
      </c>
      <c r="K541" t="s">
        <v>24</v>
      </c>
      <c r="L541">
        <v>3</v>
      </c>
      <c r="M541">
        <v>6</v>
      </c>
      <c r="N541" t="str">
        <f t="shared" si="64"/>
        <v>Tiktok</v>
      </c>
      <c r="O541">
        <f t="shared" si="65"/>
        <v>2</v>
      </c>
      <c r="P541" t="str">
        <f t="shared" si="66"/>
        <v>7.7</v>
      </c>
      <c r="Q541" t="str">
        <f t="shared" si="67"/>
        <v>OK</v>
      </c>
      <c r="R541" t="str">
        <f t="shared" si="70"/>
        <v>medium</v>
      </c>
      <c r="S541" t="str">
        <f t="shared" si="68"/>
        <v>Medium</v>
      </c>
      <c r="T541" t="str">
        <f t="shared" si="69"/>
        <v>6</v>
      </c>
      <c r="U541">
        <v>4</v>
      </c>
      <c r="V541" t="b">
        <f t="shared" si="71"/>
        <v>1</v>
      </c>
    </row>
    <row r="542" spans="1:22" x14ac:dyDescent="0.25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5.8</v>
      </c>
      <c r="G542" t="s">
        <v>143</v>
      </c>
      <c r="H542" t="s">
        <v>17</v>
      </c>
      <c r="I542">
        <v>6.7</v>
      </c>
      <c r="J542">
        <v>6</v>
      </c>
      <c r="K542" t="s">
        <v>24</v>
      </c>
      <c r="L542">
        <v>3</v>
      </c>
      <c r="M542">
        <v>7</v>
      </c>
      <c r="N542" t="str">
        <f t="shared" si="64"/>
        <v>Whatsapp</v>
      </c>
      <c r="O542">
        <f t="shared" si="65"/>
        <v>1</v>
      </c>
      <c r="P542" t="str">
        <f t="shared" si="66"/>
        <v>6.7</v>
      </c>
      <c r="Q542" t="str">
        <f t="shared" si="67"/>
        <v>OK</v>
      </c>
      <c r="R542" t="b">
        <f t="shared" si="70"/>
        <v>1</v>
      </c>
      <c r="S542" t="str">
        <f t="shared" si="68"/>
        <v>High</v>
      </c>
      <c r="T542" t="str">
        <f t="shared" si="69"/>
        <v>7</v>
      </c>
      <c r="U542">
        <v>4</v>
      </c>
      <c r="V542" t="b">
        <f t="shared" si="71"/>
        <v>1</v>
      </c>
    </row>
    <row r="543" spans="1:22" x14ac:dyDescent="0.25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4.0999999999999996</v>
      </c>
      <c r="G543" t="s">
        <v>144</v>
      </c>
      <c r="H543" t="s">
        <v>23</v>
      </c>
      <c r="I543">
        <v>8.1999999999999993</v>
      </c>
      <c r="J543">
        <v>7</v>
      </c>
      <c r="K543" t="s">
        <v>18</v>
      </c>
      <c r="L543">
        <v>2</v>
      </c>
      <c r="M543">
        <v>5</v>
      </c>
      <c r="N543" t="str">
        <f t="shared" si="64"/>
        <v>Wechat</v>
      </c>
      <c r="O543">
        <f t="shared" si="65"/>
        <v>1</v>
      </c>
      <c r="P543" t="str">
        <f t="shared" si="66"/>
        <v>8.2</v>
      </c>
      <c r="Q543" t="str">
        <f t="shared" si="67"/>
        <v>OK</v>
      </c>
      <c r="R543" t="str">
        <f t="shared" si="70"/>
        <v>medium</v>
      </c>
      <c r="S543" t="str">
        <f t="shared" si="68"/>
        <v>Medium</v>
      </c>
      <c r="T543" t="str">
        <f t="shared" si="69"/>
        <v>5</v>
      </c>
      <c r="U543">
        <v>4</v>
      </c>
      <c r="V543" t="b">
        <f t="shared" si="71"/>
        <v>1</v>
      </c>
    </row>
    <row r="544" spans="1:22" x14ac:dyDescent="0.25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3.4</v>
      </c>
      <c r="G544" t="s">
        <v>16</v>
      </c>
      <c r="H544" t="s">
        <v>23</v>
      </c>
      <c r="I544">
        <v>8.6</v>
      </c>
      <c r="J544">
        <v>8</v>
      </c>
      <c r="K544" t="s">
        <v>24</v>
      </c>
      <c r="L544">
        <v>2</v>
      </c>
      <c r="M544">
        <v>4</v>
      </c>
      <c r="N544" t="str">
        <f t="shared" si="64"/>
        <v>Instagram</v>
      </c>
      <c r="O544">
        <f t="shared" si="65"/>
        <v>1</v>
      </c>
      <c r="P544" t="str">
        <f t="shared" si="66"/>
        <v>8.6</v>
      </c>
      <c r="Q544" t="str">
        <f t="shared" si="67"/>
        <v>OK</v>
      </c>
      <c r="R544" t="str">
        <f t="shared" si="70"/>
        <v>medium</v>
      </c>
      <c r="S544" t="str">
        <f t="shared" si="68"/>
        <v>Low</v>
      </c>
      <c r="T544" t="str">
        <f t="shared" si="69"/>
        <v>4</v>
      </c>
      <c r="U544">
        <v>4</v>
      </c>
      <c r="V544" t="b">
        <f t="shared" si="71"/>
        <v>1</v>
      </c>
    </row>
    <row r="545" spans="1:22" x14ac:dyDescent="0.25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4.3</v>
      </c>
      <c r="G545" t="s">
        <v>16</v>
      </c>
      <c r="H545" t="s">
        <v>17</v>
      </c>
      <c r="I545">
        <v>7.9</v>
      </c>
      <c r="J545">
        <v>7</v>
      </c>
      <c r="K545" t="s">
        <v>18</v>
      </c>
      <c r="L545">
        <v>3</v>
      </c>
      <c r="M545">
        <v>6</v>
      </c>
      <c r="N545" t="str">
        <f t="shared" si="64"/>
        <v>Instagram</v>
      </c>
      <c r="O545">
        <f t="shared" si="65"/>
        <v>1</v>
      </c>
      <c r="P545" t="str">
        <f t="shared" si="66"/>
        <v>7.9</v>
      </c>
      <c r="Q545" t="str">
        <f t="shared" si="67"/>
        <v>OK</v>
      </c>
      <c r="R545" t="str">
        <f t="shared" si="70"/>
        <v>medium</v>
      </c>
      <c r="S545" t="str">
        <f t="shared" si="68"/>
        <v>Medium</v>
      </c>
      <c r="T545" t="str">
        <f t="shared" si="69"/>
        <v>6</v>
      </c>
      <c r="U545">
        <v>4</v>
      </c>
      <c r="V545" t="b">
        <f t="shared" si="71"/>
        <v>1</v>
      </c>
    </row>
    <row r="546" spans="1:22" x14ac:dyDescent="0.25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5.5</v>
      </c>
      <c r="G546" t="s">
        <v>26</v>
      </c>
      <c r="H546" t="s">
        <v>17</v>
      </c>
      <c r="I546">
        <v>6.6</v>
      </c>
      <c r="J546">
        <v>6</v>
      </c>
      <c r="K546" t="s">
        <v>24</v>
      </c>
      <c r="L546">
        <v>3</v>
      </c>
      <c r="M546">
        <v>7</v>
      </c>
      <c r="N546" t="str">
        <f t="shared" si="64"/>
        <v>Tiktok</v>
      </c>
      <c r="O546">
        <f t="shared" si="65"/>
        <v>2</v>
      </c>
      <c r="P546" t="str">
        <f t="shared" si="66"/>
        <v>6.6</v>
      </c>
      <c r="Q546" t="str">
        <f t="shared" si="67"/>
        <v>OK</v>
      </c>
      <c r="R546" t="b">
        <f t="shared" si="70"/>
        <v>1</v>
      </c>
      <c r="S546" t="str">
        <f t="shared" si="68"/>
        <v>High</v>
      </c>
      <c r="T546" t="str">
        <f t="shared" si="69"/>
        <v>7</v>
      </c>
      <c r="U546">
        <v>4</v>
      </c>
      <c r="V546" t="b">
        <f t="shared" si="71"/>
        <v>1</v>
      </c>
    </row>
    <row r="547" spans="1:22" x14ac:dyDescent="0.25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5.9</v>
      </c>
      <c r="G547" t="s">
        <v>143</v>
      </c>
      <c r="H547" t="s">
        <v>17</v>
      </c>
      <c r="I547">
        <v>6.4</v>
      </c>
      <c r="J547">
        <v>6</v>
      </c>
      <c r="K547" t="s">
        <v>24</v>
      </c>
      <c r="L547">
        <v>3</v>
      </c>
      <c r="M547">
        <v>7</v>
      </c>
      <c r="N547" t="str">
        <f t="shared" si="64"/>
        <v>Whatsapp</v>
      </c>
      <c r="O547">
        <f t="shared" si="65"/>
        <v>1</v>
      </c>
      <c r="P547" t="str">
        <f t="shared" si="66"/>
        <v>6.4</v>
      </c>
      <c r="Q547" t="str">
        <f t="shared" si="67"/>
        <v>OK</v>
      </c>
      <c r="R547" t="b">
        <f t="shared" si="70"/>
        <v>1</v>
      </c>
      <c r="S547" t="str">
        <f t="shared" si="68"/>
        <v>High</v>
      </c>
      <c r="T547" t="str">
        <f t="shared" si="69"/>
        <v>7</v>
      </c>
      <c r="U547">
        <v>4</v>
      </c>
      <c r="V547" t="b">
        <f t="shared" si="71"/>
        <v>1</v>
      </c>
    </row>
    <row r="548" spans="1:22" x14ac:dyDescent="0.25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6.9</v>
      </c>
      <c r="G548" t="s">
        <v>16</v>
      </c>
      <c r="H548" t="s">
        <v>17</v>
      </c>
      <c r="I548">
        <v>6.1</v>
      </c>
      <c r="J548">
        <v>5</v>
      </c>
      <c r="K548" t="s">
        <v>18</v>
      </c>
      <c r="L548">
        <v>4</v>
      </c>
      <c r="M548">
        <v>8</v>
      </c>
      <c r="N548" t="str">
        <f t="shared" si="64"/>
        <v>Instagram</v>
      </c>
      <c r="O548">
        <f t="shared" si="65"/>
        <v>1</v>
      </c>
      <c r="P548" t="str">
        <f t="shared" si="66"/>
        <v>6.1</v>
      </c>
      <c r="Q548" t="str">
        <f t="shared" si="67"/>
        <v>OK</v>
      </c>
      <c r="R548" t="b">
        <f t="shared" si="70"/>
        <v>1</v>
      </c>
      <c r="S548" t="str">
        <f t="shared" si="68"/>
        <v>High</v>
      </c>
      <c r="T548" t="str">
        <f t="shared" si="69"/>
        <v>8</v>
      </c>
      <c r="U548">
        <v>4</v>
      </c>
      <c r="V548" t="b">
        <f t="shared" si="71"/>
        <v>1</v>
      </c>
    </row>
    <row r="549" spans="1:22" x14ac:dyDescent="0.25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3.8</v>
      </c>
      <c r="G549" t="s">
        <v>32</v>
      </c>
      <c r="H549" t="s">
        <v>23</v>
      </c>
      <c r="I549">
        <v>8.3000000000000007</v>
      </c>
      <c r="J549">
        <v>7</v>
      </c>
      <c r="K549" t="s">
        <v>24</v>
      </c>
      <c r="L549">
        <v>2</v>
      </c>
      <c r="M549">
        <v>5</v>
      </c>
      <c r="N549" t="str">
        <f t="shared" si="64"/>
        <v>Facebook</v>
      </c>
      <c r="O549">
        <f t="shared" si="65"/>
        <v>0</v>
      </c>
      <c r="P549" t="str">
        <f t="shared" si="66"/>
        <v>8.3</v>
      </c>
      <c r="Q549" t="str">
        <f t="shared" si="67"/>
        <v>OK</v>
      </c>
      <c r="R549" t="str">
        <f t="shared" si="70"/>
        <v>medium</v>
      </c>
      <c r="S549" t="str">
        <f t="shared" si="68"/>
        <v>Medium</v>
      </c>
      <c r="T549" t="str">
        <f t="shared" si="69"/>
        <v>5</v>
      </c>
      <c r="U549">
        <v>4</v>
      </c>
      <c r="V549" t="b">
        <f t="shared" si="71"/>
        <v>1</v>
      </c>
    </row>
    <row r="550" spans="1:22" x14ac:dyDescent="0.25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7.2</v>
      </c>
      <c r="G550" t="s">
        <v>143</v>
      </c>
      <c r="H550" t="s">
        <v>17</v>
      </c>
      <c r="I550">
        <v>5.6</v>
      </c>
      <c r="J550">
        <v>5</v>
      </c>
      <c r="K550" t="s">
        <v>18</v>
      </c>
      <c r="L550">
        <v>4</v>
      </c>
      <c r="M550">
        <v>8</v>
      </c>
      <c r="N550" t="str">
        <f t="shared" si="64"/>
        <v>Whatsapp</v>
      </c>
      <c r="O550">
        <f t="shared" si="65"/>
        <v>1</v>
      </c>
      <c r="P550" t="str">
        <f t="shared" si="66"/>
        <v>5.6</v>
      </c>
      <c r="Q550" t="str">
        <f t="shared" si="67"/>
        <v>OK</v>
      </c>
      <c r="R550" t="b">
        <f t="shared" si="70"/>
        <v>1</v>
      </c>
      <c r="S550" t="str">
        <f t="shared" si="68"/>
        <v>High</v>
      </c>
      <c r="T550" t="str">
        <f t="shared" si="69"/>
        <v>8</v>
      </c>
      <c r="U550">
        <v>4</v>
      </c>
      <c r="V550" t="b">
        <f t="shared" si="71"/>
        <v>1</v>
      </c>
    </row>
    <row r="551" spans="1:22" x14ac:dyDescent="0.25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4.4000000000000004</v>
      </c>
      <c r="G551" t="s">
        <v>16</v>
      </c>
      <c r="H551" t="s">
        <v>17</v>
      </c>
      <c r="I551">
        <v>7.8</v>
      </c>
      <c r="J551">
        <v>7</v>
      </c>
      <c r="K551" t="s">
        <v>24</v>
      </c>
      <c r="L551">
        <v>3</v>
      </c>
      <c r="M551">
        <v>6</v>
      </c>
      <c r="N551" t="str">
        <f t="shared" si="64"/>
        <v>Instagram</v>
      </c>
      <c r="O551">
        <f t="shared" si="65"/>
        <v>1</v>
      </c>
      <c r="P551" t="str">
        <f t="shared" si="66"/>
        <v>7.8</v>
      </c>
      <c r="Q551" t="str">
        <f t="shared" si="67"/>
        <v>OK</v>
      </c>
      <c r="R551" t="str">
        <f t="shared" si="70"/>
        <v>medium</v>
      </c>
      <c r="S551" t="str">
        <f t="shared" si="68"/>
        <v>Medium</v>
      </c>
      <c r="T551" t="str">
        <f t="shared" si="69"/>
        <v>6</v>
      </c>
      <c r="U551">
        <v>4</v>
      </c>
      <c r="V551" t="b">
        <f t="shared" si="71"/>
        <v>1</v>
      </c>
    </row>
    <row r="552" spans="1:22" x14ac:dyDescent="0.25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5.7</v>
      </c>
      <c r="G552" t="s">
        <v>26</v>
      </c>
      <c r="H552" t="s">
        <v>17</v>
      </c>
      <c r="I552">
        <v>6.8</v>
      </c>
      <c r="J552">
        <v>6</v>
      </c>
      <c r="K552" t="s">
        <v>24</v>
      </c>
      <c r="L552">
        <v>3</v>
      </c>
      <c r="M552">
        <v>7</v>
      </c>
      <c r="N552" t="str">
        <f t="shared" si="64"/>
        <v>Tiktok</v>
      </c>
      <c r="O552">
        <f t="shared" si="65"/>
        <v>2</v>
      </c>
      <c r="P552" t="str">
        <f t="shared" si="66"/>
        <v>6.8</v>
      </c>
      <c r="Q552" t="str">
        <f t="shared" si="67"/>
        <v>OK</v>
      </c>
      <c r="R552" t="b">
        <f t="shared" si="70"/>
        <v>1</v>
      </c>
      <c r="S552" t="str">
        <f t="shared" si="68"/>
        <v>High</v>
      </c>
      <c r="T552" t="str">
        <f t="shared" si="69"/>
        <v>7</v>
      </c>
      <c r="U552">
        <v>4</v>
      </c>
      <c r="V552" t="b">
        <f t="shared" si="71"/>
        <v>1</v>
      </c>
    </row>
    <row r="553" spans="1:22" x14ac:dyDescent="0.25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4</v>
      </c>
      <c r="G553" t="s">
        <v>144</v>
      </c>
      <c r="H553" t="s">
        <v>23</v>
      </c>
      <c r="I553">
        <v>8.3000000000000007</v>
      </c>
      <c r="J553">
        <v>7</v>
      </c>
      <c r="K553" t="s">
        <v>18</v>
      </c>
      <c r="L553">
        <v>2</v>
      </c>
      <c r="M553">
        <v>5</v>
      </c>
      <c r="N553" t="str">
        <f t="shared" si="64"/>
        <v>Wechat</v>
      </c>
      <c r="O553">
        <f t="shared" si="65"/>
        <v>1</v>
      </c>
      <c r="P553" t="str">
        <f t="shared" si="66"/>
        <v>8.3</v>
      </c>
      <c r="Q553" t="str">
        <f t="shared" si="67"/>
        <v>OK</v>
      </c>
      <c r="R553" t="str">
        <f t="shared" si="70"/>
        <v>medium</v>
      </c>
      <c r="S553" t="str">
        <f t="shared" si="68"/>
        <v>Medium</v>
      </c>
      <c r="T553" t="str">
        <f t="shared" si="69"/>
        <v>5</v>
      </c>
      <c r="U553">
        <v>3.9</v>
      </c>
      <c r="V553" t="b">
        <f t="shared" si="71"/>
        <v>1</v>
      </c>
    </row>
    <row r="554" spans="1:22" x14ac:dyDescent="0.25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3.3</v>
      </c>
      <c r="G554" t="s">
        <v>16</v>
      </c>
      <c r="H554" t="s">
        <v>23</v>
      </c>
      <c r="I554">
        <v>8.6999999999999993</v>
      </c>
      <c r="J554">
        <v>8</v>
      </c>
      <c r="K554" t="s">
        <v>24</v>
      </c>
      <c r="L554">
        <v>2</v>
      </c>
      <c r="M554">
        <v>4</v>
      </c>
      <c r="N554" t="str">
        <f t="shared" si="64"/>
        <v>Instagram</v>
      </c>
      <c r="O554">
        <f t="shared" si="65"/>
        <v>1</v>
      </c>
      <c r="P554" t="str">
        <f t="shared" si="66"/>
        <v>8.7</v>
      </c>
      <c r="Q554" t="str">
        <f t="shared" si="67"/>
        <v>OK</v>
      </c>
      <c r="R554" t="str">
        <f t="shared" si="70"/>
        <v>medium</v>
      </c>
      <c r="S554" t="str">
        <f t="shared" si="68"/>
        <v>Low</v>
      </c>
      <c r="T554" t="str">
        <f t="shared" si="69"/>
        <v>4</v>
      </c>
      <c r="U554">
        <v>3.9</v>
      </c>
      <c r="V554" t="b">
        <f t="shared" si="71"/>
        <v>1</v>
      </c>
    </row>
    <row r="555" spans="1:22" x14ac:dyDescent="0.25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4.2</v>
      </c>
      <c r="G555" t="s">
        <v>32</v>
      </c>
      <c r="H555" t="s">
        <v>17</v>
      </c>
      <c r="I555">
        <v>8</v>
      </c>
      <c r="J555">
        <v>7</v>
      </c>
      <c r="K555" t="s">
        <v>18</v>
      </c>
      <c r="L555">
        <v>3</v>
      </c>
      <c r="M555">
        <v>6</v>
      </c>
      <c r="N555" t="str">
        <f t="shared" si="64"/>
        <v>Facebook</v>
      </c>
      <c r="O555">
        <f t="shared" si="65"/>
        <v>0</v>
      </c>
      <c r="P555" t="str">
        <f t="shared" si="66"/>
        <v>8</v>
      </c>
      <c r="Q555" t="str">
        <f t="shared" si="67"/>
        <v>OK</v>
      </c>
      <c r="R555" t="str">
        <f t="shared" si="70"/>
        <v>medium</v>
      </c>
      <c r="S555" t="str">
        <f t="shared" si="68"/>
        <v>Medium</v>
      </c>
      <c r="T555" t="str">
        <f t="shared" si="69"/>
        <v>6</v>
      </c>
      <c r="U555">
        <v>3.9</v>
      </c>
      <c r="V555" t="b">
        <f t="shared" si="71"/>
        <v>1</v>
      </c>
    </row>
    <row r="556" spans="1:22" x14ac:dyDescent="0.25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5.6</v>
      </c>
      <c r="G556" t="s">
        <v>26</v>
      </c>
      <c r="H556" t="s">
        <v>17</v>
      </c>
      <c r="I556">
        <v>6.5</v>
      </c>
      <c r="J556">
        <v>6</v>
      </c>
      <c r="K556" t="s">
        <v>24</v>
      </c>
      <c r="L556">
        <v>3</v>
      </c>
      <c r="M556">
        <v>7</v>
      </c>
      <c r="N556" t="str">
        <f t="shared" si="64"/>
        <v>Tiktok</v>
      </c>
      <c r="O556">
        <f t="shared" si="65"/>
        <v>2</v>
      </c>
      <c r="P556" t="str">
        <f t="shared" si="66"/>
        <v>6.5</v>
      </c>
      <c r="Q556" t="str">
        <f t="shared" si="67"/>
        <v>OK</v>
      </c>
      <c r="R556" t="b">
        <f t="shared" si="70"/>
        <v>1</v>
      </c>
      <c r="S556" t="str">
        <f t="shared" si="68"/>
        <v>High</v>
      </c>
      <c r="T556" t="str">
        <f t="shared" si="69"/>
        <v>7</v>
      </c>
      <c r="U556">
        <v>3.9</v>
      </c>
      <c r="V556" t="b">
        <f t="shared" si="71"/>
        <v>1</v>
      </c>
    </row>
    <row r="557" spans="1:22" x14ac:dyDescent="0.25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</v>
      </c>
      <c r="G557" t="s">
        <v>143</v>
      </c>
      <c r="H557" t="s">
        <v>17</v>
      </c>
      <c r="I557">
        <v>6.3</v>
      </c>
      <c r="J557">
        <v>6</v>
      </c>
      <c r="K557" t="s">
        <v>24</v>
      </c>
      <c r="L557">
        <v>3</v>
      </c>
      <c r="M557">
        <v>7</v>
      </c>
      <c r="N557" t="str">
        <f t="shared" si="64"/>
        <v>Whatsapp</v>
      </c>
      <c r="O557">
        <f t="shared" si="65"/>
        <v>1</v>
      </c>
      <c r="P557" t="str">
        <f t="shared" si="66"/>
        <v>6.3</v>
      </c>
      <c r="Q557" t="str">
        <f t="shared" si="67"/>
        <v>OK</v>
      </c>
      <c r="R557" t="b">
        <f t="shared" si="70"/>
        <v>1</v>
      </c>
      <c r="S557" t="str">
        <f t="shared" si="68"/>
        <v>High</v>
      </c>
      <c r="T557" t="str">
        <f t="shared" si="69"/>
        <v>7</v>
      </c>
      <c r="U557">
        <v>3.9</v>
      </c>
      <c r="V557" t="b">
        <f t="shared" si="71"/>
        <v>1</v>
      </c>
    </row>
    <row r="558" spans="1:22" x14ac:dyDescent="0.25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7</v>
      </c>
      <c r="G558" t="s">
        <v>16</v>
      </c>
      <c r="H558" t="s">
        <v>17</v>
      </c>
      <c r="I558">
        <v>6</v>
      </c>
      <c r="J558">
        <v>5</v>
      </c>
      <c r="K558" t="s">
        <v>18</v>
      </c>
      <c r="L558">
        <v>4</v>
      </c>
      <c r="M558">
        <v>8</v>
      </c>
      <c r="N558" t="str">
        <f t="shared" si="64"/>
        <v>Instagram</v>
      </c>
      <c r="O558">
        <f t="shared" si="65"/>
        <v>1</v>
      </c>
      <c r="P558" t="str">
        <f t="shared" si="66"/>
        <v>6</v>
      </c>
      <c r="Q558" t="str">
        <f t="shared" si="67"/>
        <v>OK</v>
      </c>
      <c r="R558" t="b">
        <f t="shared" si="70"/>
        <v>1</v>
      </c>
      <c r="S558" t="str">
        <f t="shared" si="68"/>
        <v>High</v>
      </c>
      <c r="T558" t="str">
        <f t="shared" si="69"/>
        <v>8</v>
      </c>
      <c r="U558">
        <v>3.9</v>
      </c>
      <c r="V558" t="b">
        <f t="shared" si="71"/>
        <v>1</v>
      </c>
    </row>
    <row r="559" spans="1:22" x14ac:dyDescent="0.25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3.7</v>
      </c>
      <c r="G559" t="s">
        <v>32</v>
      </c>
      <c r="H559" t="s">
        <v>23</v>
      </c>
      <c r="I559">
        <v>8.4</v>
      </c>
      <c r="J559">
        <v>7</v>
      </c>
      <c r="K559" t="s">
        <v>24</v>
      </c>
      <c r="L559">
        <v>2</v>
      </c>
      <c r="M559">
        <v>5</v>
      </c>
      <c r="N559" t="str">
        <f t="shared" si="64"/>
        <v>Facebook</v>
      </c>
      <c r="O559">
        <f t="shared" si="65"/>
        <v>0</v>
      </c>
      <c r="P559" t="str">
        <f t="shared" si="66"/>
        <v>8.4</v>
      </c>
      <c r="Q559" t="str">
        <f t="shared" si="67"/>
        <v>OK</v>
      </c>
      <c r="R559" t="str">
        <f t="shared" si="70"/>
        <v>medium</v>
      </c>
      <c r="S559" t="str">
        <f t="shared" si="68"/>
        <v>Medium</v>
      </c>
      <c r="T559" t="str">
        <f t="shared" si="69"/>
        <v>5</v>
      </c>
      <c r="U559">
        <v>3.9</v>
      </c>
      <c r="V559" t="b">
        <f t="shared" si="71"/>
        <v>1</v>
      </c>
    </row>
    <row r="560" spans="1:22" x14ac:dyDescent="0.25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7.3</v>
      </c>
      <c r="G560" t="s">
        <v>143</v>
      </c>
      <c r="H560" t="s">
        <v>17</v>
      </c>
      <c r="I560">
        <v>5.5</v>
      </c>
      <c r="J560">
        <v>5</v>
      </c>
      <c r="K560" t="s">
        <v>18</v>
      </c>
      <c r="L560">
        <v>4</v>
      </c>
      <c r="M560">
        <v>8</v>
      </c>
      <c r="N560" t="str">
        <f t="shared" si="64"/>
        <v>Whatsapp</v>
      </c>
      <c r="O560">
        <f t="shared" si="65"/>
        <v>1</v>
      </c>
      <c r="P560" t="str">
        <f t="shared" si="66"/>
        <v>5.5</v>
      </c>
      <c r="Q560" t="str">
        <f t="shared" si="67"/>
        <v>OK</v>
      </c>
      <c r="R560" t="b">
        <f t="shared" si="70"/>
        <v>1</v>
      </c>
      <c r="S560" t="str">
        <f t="shared" si="68"/>
        <v>High</v>
      </c>
      <c r="T560" t="str">
        <f t="shared" si="69"/>
        <v>8</v>
      </c>
      <c r="U560">
        <v>3.9</v>
      </c>
      <c r="V560" t="b">
        <f t="shared" si="71"/>
        <v>1</v>
      </c>
    </row>
    <row r="561" spans="1:22" x14ac:dyDescent="0.25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4.3</v>
      </c>
      <c r="G561" t="s">
        <v>26</v>
      </c>
      <c r="H561" t="s">
        <v>17</v>
      </c>
      <c r="I561">
        <v>7.9</v>
      </c>
      <c r="J561">
        <v>7</v>
      </c>
      <c r="K561" t="s">
        <v>24</v>
      </c>
      <c r="L561">
        <v>3</v>
      </c>
      <c r="M561">
        <v>6</v>
      </c>
      <c r="N561" t="str">
        <f t="shared" si="64"/>
        <v>Tiktok</v>
      </c>
      <c r="O561">
        <f t="shared" si="65"/>
        <v>2</v>
      </c>
      <c r="P561" t="str">
        <f t="shared" si="66"/>
        <v>7.9</v>
      </c>
      <c r="Q561" t="str">
        <f t="shared" si="67"/>
        <v>OK</v>
      </c>
      <c r="R561" t="str">
        <f t="shared" si="70"/>
        <v>medium</v>
      </c>
      <c r="S561" t="str">
        <f t="shared" si="68"/>
        <v>Medium</v>
      </c>
      <c r="T561" t="str">
        <f t="shared" si="69"/>
        <v>6</v>
      </c>
      <c r="U561">
        <v>3.9</v>
      </c>
      <c r="V561" t="b">
        <f t="shared" si="71"/>
        <v>1</v>
      </c>
    </row>
    <row r="562" spans="1:22" x14ac:dyDescent="0.25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5.6</v>
      </c>
      <c r="G562" t="s">
        <v>143</v>
      </c>
      <c r="H562" t="s">
        <v>17</v>
      </c>
      <c r="I562">
        <v>6.9</v>
      </c>
      <c r="J562">
        <v>6</v>
      </c>
      <c r="K562" t="s">
        <v>24</v>
      </c>
      <c r="L562">
        <v>3</v>
      </c>
      <c r="M562">
        <v>7</v>
      </c>
      <c r="N562" t="str">
        <f t="shared" si="64"/>
        <v>Whatsapp</v>
      </c>
      <c r="O562">
        <f t="shared" si="65"/>
        <v>1</v>
      </c>
      <c r="P562" t="str">
        <f t="shared" si="66"/>
        <v>6.9</v>
      </c>
      <c r="Q562" t="str">
        <f t="shared" si="67"/>
        <v>OK</v>
      </c>
      <c r="R562" t="b">
        <f t="shared" si="70"/>
        <v>1</v>
      </c>
      <c r="S562" t="str">
        <f t="shared" si="68"/>
        <v>High</v>
      </c>
      <c r="T562" t="str">
        <f t="shared" si="69"/>
        <v>7</v>
      </c>
      <c r="U562">
        <v>3.9</v>
      </c>
      <c r="V562" t="b">
        <f t="shared" si="71"/>
        <v>1</v>
      </c>
    </row>
    <row r="563" spans="1:22" x14ac:dyDescent="0.25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3.9</v>
      </c>
      <c r="G563" t="s">
        <v>144</v>
      </c>
      <c r="H563" t="s">
        <v>23</v>
      </c>
      <c r="I563">
        <v>8.4</v>
      </c>
      <c r="J563">
        <v>7</v>
      </c>
      <c r="K563" t="s">
        <v>18</v>
      </c>
      <c r="L563">
        <v>2</v>
      </c>
      <c r="M563">
        <v>5</v>
      </c>
      <c r="N563" t="str">
        <f t="shared" si="64"/>
        <v>Wechat</v>
      </c>
      <c r="O563">
        <f t="shared" si="65"/>
        <v>1</v>
      </c>
      <c r="P563" t="str">
        <f t="shared" si="66"/>
        <v>8.4</v>
      </c>
      <c r="Q563" t="str">
        <f t="shared" si="67"/>
        <v>OK</v>
      </c>
      <c r="R563" t="str">
        <f t="shared" si="70"/>
        <v>medium</v>
      </c>
      <c r="S563" t="str">
        <f t="shared" si="68"/>
        <v>Medium</v>
      </c>
      <c r="T563" t="str">
        <f t="shared" si="69"/>
        <v>5</v>
      </c>
      <c r="U563">
        <v>3.9</v>
      </c>
      <c r="V563" t="b">
        <f t="shared" si="71"/>
        <v>1</v>
      </c>
    </row>
    <row r="564" spans="1:22" x14ac:dyDescent="0.25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3.2</v>
      </c>
      <c r="G564" t="s">
        <v>16</v>
      </c>
      <c r="H564" t="s">
        <v>23</v>
      </c>
      <c r="I564">
        <v>8.8000000000000007</v>
      </c>
      <c r="J564">
        <v>8</v>
      </c>
      <c r="K564" t="s">
        <v>24</v>
      </c>
      <c r="L564">
        <v>2</v>
      </c>
      <c r="M564">
        <v>4</v>
      </c>
      <c r="N564" t="str">
        <f t="shared" si="64"/>
        <v>Instagram</v>
      </c>
      <c r="O564">
        <f t="shared" si="65"/>
        <v>1</v>
      </c>
      <c r="P564" t="str">
        <f t="shared" si="66"/>
        <v>8.8</v>
      </c>
      <c r="Q564" t="str">
        <f t="shared" si="67"/>
        <v>OK</v>
      </c>
      <c r="R564" t="str">
        <f t="shared" si="70"/>
        <v>medium</v>
      </c>
      <c r="S564" t="str">
        <f t="shared" si="68"/>
        <v>Low</v>
      </c>
      <c r="T564" t="str">
        <f t="shared" si="69"/>
        <v>4</v>
      </c>
      <c r="U564">
        <v>3.9</v>
      </c>
      <c r="V564" t="b">
        <f t="shared" si="71"/>
        <v>1</v>
      </c>
    </row>
    <row r="565" spans="1:22" x14ac:dyDescent="0.25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4.0999999999999996</v>
      </c>
      <c r="G565" t="s">
        <v>16</v>
      </c>
      <c r="H565" t="s">
        <v>17</v>
      </c>
      <c r="I565">
        <v>8.1</v>
      </c>
      <c r="J565">
        <v>7</v>
      </c>
      <c r="K565" t="s">
        <v>18</v>
      </c>
      <c r="L565">
        <v>3</v>
      </c>
      <c r="M565">
        <v>6</v>
      </c>
      <c r="N565" t="str">
        <f t="shared" si="64"/>
        <v>Instagram</v>
      </c>
      <c r="O565">
        <f t="shared" si="65"/>
        <v>1</v>
      </c>
      <c r="P565" t="str">
        <f t="shared" si="66"/>
        <v>8.1</v>
      </c>
      <c r="Q565" t="str">
        <f t="shared" si="67"/>
        <v>OK</v>
      </c>
      <c r="R565" t="str">
        <f t="shared" si="70"/>
        <v>medium</v>
      </c>
      <c r="S565" t="str">
        <f t="shared" si="68"/>
        <v>Medium</v>
      </c>
      <c r="T565" t="str">
        <f t="shared" si="69"/>
        <v>6</v>
      </c>
      <c r="U565">
        <v>3.9</v>
      </c>
      <c r="V565" t="b">
        <f t="shared" si="71"/>
        <v>1</v>
      </c>
    </row>
    <row r="566" spans="1:22" x14ac:dyDescent="0.25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5.7</v>
      </c>
      <c r="G566" t="s">
        <v>26</v>
      </c>
      <c r="H566" t="s">
        <v>17</v>
      </c>
      <c r="I566">
        <v>6.4</v>
      </c>
      <c r="J566">
        <v>6</v>
      </c>
      <c r="K566" t="s">
        <v>24</v>
      </c>
      <c r="L566">
        <v>3</v>
      </c>
      <c r="M566">
        <v>7</v>
      </c>
      <c r="N566" t="str">
        <f t="shared" si="64"/>
        <v>Tiktok</v>
      </c>
      <c r="O566">
        <f t="shared" si="65"/>
        <v>2</v>
      </c>
      <c r="P566" t="str">
        <f t="shared" si="66"/>
        <v>6.4</v>
      </c>
      <c r="Q566" t="str">
        <f t="shared" si="67"/>
        <v>OK</v>
      </c>
      <c r="R566" t="b">
        <f t="shared" si="70"/>
        <v>1</v>
      </c>
      <c r="S566" t="str">
        <f t="shared" si="68"/>
        <v>High</v>
      </c>
      <c r="T566" t="str">
        <f t="shared" si="69"/>
        <v>7</v>
      </c>
      <c r="U566">
        <v>3.9</v>
      </c>
      <c r="V566" t="b">
        <f t="shared" si="71"/>
        <v>1</v>
      </c>
    </row>
    <row r="567" spans="1:22" x14ac:dyDescent="0.25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6.1</v>
      </c>
      <c r="G567" t="s">
        <v>143</v>
      </c>
      <c r="H567" t="s">
        <v>17</v>
      </c>
      <c r="I567">
        <v>6.2</v>
      </c>
      <c r="J567">
        <v>6</v>
      </c>
      <c r="K567" t="s">
        <v>24</v>
      </c>
      <c r="L567">
        <v>3</v>
      </c>
      <c r="M567">
        <v>7</v>
      </c>
      <c r="N567" t="str">
        <f t="shared" si="64"/>
        <v>Whatsapp</v>
      </c>
      <c r="O567">
        <f t="shared" si="65"/>
        <v>1</v>
      </c>
      <c r="P567" t="str">
        <f t="shared" si="66"/>
        <v>6.2</v>
      </c>
      <c r="Q567" t="str">
        <f t="shared" si="67"/>
        <v>OK</v>
      </c>
      <c r="R567" t="b">
        <f t="shared" si="70"/>
        <v>1</v>
      </c>
      <c r="S567" t="str">
        <f t="shared" si="68"/>
        <v>High</v>
      </c>
      <c r="T567" t="str">
        <f t="shared" si="69"/>
        <v>7</v>
      </c>
      <c r="U567">
        <v>3.9</v>
      </c>
      <c r="V567" t="b">
        <f t="shared" si="71"/>
        <v>1</v>
      </c>
    </row>
    <row r="568" spans="1:22" x14ac:dyDescent="0.25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7.1</v>
      </c>
      <c r="G568" t="s">
        <v>16</v>
      </c>
      <c r="H568" t="s">
        <v>17</v>
      </c>
      <c r="I568">
        <v>5.9</v>
      </c>
      <c r="J568">
        <v>5</v>
      </c>
      <c r="K568" t="s">
        <v>18</v>
      </c>
      <c r="L568">
        <v>4</v>
      </c>
      <c r="M568">
        <v>8</v>
      </c>
      <c r="N568" t="str">
        <f t="shared" si="64"/>
        <v>Instagram</v>
      </c>
      <c r="O568">
        <f t="shared" si="65"/>
        <v>1</v>
      </c>
      <c r="P568" t="str">
        <f t="shared" si="66"/>
        <v>5.9</v>
      </c>
      <c r="Q568" t="str">
        <f t="shared" si="67"/>
        <v>OK</v>
      </c>
      <c r="R568" t="b">
        <f t="shared" si="70"/>
        <v>1</v>
      </c>
      <c r="S568" t="str">
        <f t="shared" si="68"/>
        <v>High</v>
      </c>
      <c r="T568" t="str">
        <f t="shared" si="69"/>
        <v>8</v>
      </c>
      <c r="U568">
        <v>3.8</v>
      </c>
      <c r="V568" t="b">
        <f t="shared" si="71"/>
        <v>1</v>
      </c>
    </row>
    <row r="569" spans="1:22" x14ac:dyDescent="0.25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3.6</v>
      </c>
      <c r="G569" t="s">
        <v>32</v>
      </c>
      <c r="H569" t="s">
        <v>23</v>
      </c>
      <c r="I569">
        <v>8.5</v>
      </c>
      <c r="J569">
        <v>7</v>
      </c>
      <c r="K569" t="s">
        <v>24</v>
      </c>
      <c r="L569">
        <v>2</v>
      </c>
      <c r="M569">
        <v>5</v>
      </c>
      <c r="N569" t="str">
        <f t="shared" si="64"/>
        <v>Facebook</v>
      </c>
      <c r="O569">
        <f t="shared" si="65"/>
        <v>0</v>
      </c>
      <c r="P569" t="str">
        <f t="shared" si="66"/>
        <v>8.5</v>
      </c>
      <c r="Q569" t="str">
        <f t="shared" si="67"/>
        <v>OK</v>
      </c>
      <c r="R569" t="str">
        <f t="shared" si="70"/>
        <v>medium</v>
      </c>
      <c r="S569" t="str">
        <f t="shared" si="68"/>
        <v>Medium</v>
      </c>
      <c r="T569" t="str">
        <f t="shared" si="69"/>
        <v>5</v>
      </c>
      <c r="U569">
        <v>3.8</v>
      </c>
      <c r="V569" t="b">
        <f t="shared" si="71"/>
        <v>1</v>
      </c>
    </row>
    <row r="570" spans="1:22" x14ac:dyDescent="0.25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7.4</v>
      </c>
      <c r="G570" t="s">
        <v>143</v>
      </c>
      <c r="H570" t="s">
        <v>17</v>
      </c>
      <c r="I570">
        <v>5.4</v>
      </c>
      <c r="J570">
        <v>5</v>
      </c>
      <c r="K570" t="s">
        <v>18</v>
      </c>
      <c r="L570">
        <v>4</v>
      </c>
      <c r="M570">
        <v>8</v>
      </c>
      <c r="N570" t="str">
        <f t="shared" si="64"/>
        <v>Whatsapp</v>
      </c>
      <c r="O570">
        <f t="shared" si="65"/>
        <v>1</v>
      </c>
      <c r="P570" t="str">
        <f t="shared" si="66"/>
        <v>5.4</v>
      </c>
      <c r="Q570" t="str">
        <f t="shared" si="67"/>
        <v>OK</v>
      </c>
      <c r="R570" t="b">
        <f t="shared" si="70"/>
        <v>1</v>
      </c>
      <c r="S570" t="str">
        <f t="shared" si="68"/>
        <v>High</v>
      </c>
      <c r="T570" t="str">
        <f t="shared" si="69"/>
        <v>8</v>
      </c>
      <c r="U570">
        <v>3.8</v>
      </c>
      <c r="V570" t="b">
        <f t="shared" si="71"/>
        <v>1</v>
      </c>
    </row>
    <row r="571" spans="1:22" x14ac:dyDescent="0.25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4.2</v>
      </c>
      <c r="G571" t="s">
        <v>16</v>
      </c>
      <c r="H571" t="s">
        <v>17</v>
      </c>
      <c r="I571">
        <v>8</v>
      </c>
      <c r="J571">
        <v>7</v>
      </c>
      <c r="K571" t="s">
        <v>24</v>
      </c>
      <c r="L571">
        <v>3</v>
      </c>
      <c r="M571">
        <v>6</v>
      </c>
      <c r="N571" t="str">
        <f t="shared" si="64"/>
        <v>Instagram</v>
      </c>
      <c r="O571">
        <f t="shared" si="65"/>
        <v>1</v>
      </c>
      <c r="P571" t="str">
        <f t="shared" si="66"/>
        <v>8</v>
      </c>
      <c r="Q571" t="str">
        <f t="shared" si="67"/>
        <v>OK</v>
      </c>
      <c r="R571" t="str">
        <f t="shared" si="70"/>
        <v>medium</v>
      </c>
      <c r="S571" t="str">
        <f t="shared" si="68"/>
        <v>Medium</v>
      </c>
      <c r="T571" t="str">
        <f t="shared" si="69"/>
        <v>6</v>
      </c>
      <c r="U571">
        <v>3.8</v>
      </c>
      <c r="V571" t="b">
        <f t="shared" si="71"/>
        <v>1</v>
      </c>
    </row>
    <row r="572" spans="1:22" x14ac:dyDescent="0.25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6.1</v>
      </c>
      <c r="G572" t="s">
        <v>16</v>
      </c>
      <c r="H572" t="s">
        <v>17</v>
      </c>
      <c r="I572">
        <v>7.2</v>
      </c>
      <c r="J572">
        <v>5</v>
      </c>
      <c r="K572" t="s">
        <v>24</v>
      </c>
      <c r="L572">
        <v>4</v>
      </c>
      <c r="M572">
        <v>7</v>
      </c>
      <c r="N572" t="str">
        <f t="shared" si="64"/>
        <v>Instagram</v>
      </c>
      <c r="O572">
        <f t="shared" si="65"/>
        <v>1</v>
      </c>
      <c r="P572" t="str">
        <f t="shared" si="66"/>
        <v>7.2</v>
      </c>
      <c r="Q572" t="str">
        <f t="shared" si="67"/>
        <v>OK</v>
      </c>
      <c r="R572" t="b">
        <f t="shared" si="70"/>
        <v>1</v>
      </c>
      <c r="S572" t="str">
        <f t="shared" si="68"/>
        <v>High</v>
      </c>
      <c r="T572" t="str">
        <f t="shared" si="69"/>
        <v>7</v>
      </c>
      <c r="U572">
        <v>3.8</v>
      </c>
      <c r="V572" t="b">
        <f t="shared" si="71"/>
        <v>1</v>
      </c>
    </row>
    <row r="573" spans="1:22" x14ac:dyDescent="0.25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3.8</v>
      </c>
      <c r="G573" t="s">
        <v>22</v>
      </c>
      <c r="H573" t="s">
        <v>23</v>
      </c>
      <c r="I573">
        <v>7.8</v>
      </c>
      <c r="J573">
        <v>8</v>
      </c>
      <c r="K573" t="s">
        <v>18</v>
      </c>
      <c r="L573">
        <v>2</v>
      </c>
      <c r="M573">
        <v>4</v>
      </c>
      <c r="N573" t="str">
        <f t="shared" si="64"/>
        <v>Twitter</v>
      </c>
      <c r="O573">
        <f t="shared" si="65"/>
        <v>3</v>
      </c>
      <c r="P573" t="str">
        <f t="shared" si="66"/>
        <v>7.8</v>
      </c>
      <c r="Q573" t="str">
        <f t="shared" si="67"/>
        <v>OK</v>
      </c>
      <c r="R573" t="str">
        <f t="shared" si="70"/>
        <v>medium</v>
      </c>
      <c r="S573" t="str">
        <f t="shared" si="68"/>
        <v>Low</v>
      </c>
      <c r="T573" t="str">
        <f t="shared" si="69"/>
        <v>4</v>
      </c>
      <c r="U573">
        <v>3.8</v>
      </c>
      <c r="V573" t="b">
        <f t="shared" si="71"/>
        <v>1</v>
      </c>
    </row>
    <row r="574" spans="1:22" x14ac:dyDescent="0.25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5.5</v>
      </c>
      <c r="G574" t="s">
        <v>26</v>
      </c>
      <c r="H574" t="s">
        <v>17</v>
      </c>
      <c r="I574">
        <v>6.8</v>
      </c>
      <c r="J574">
        <v>6</v>
      </c>
      <c r="K574" t="s">
        <v>24</v>
      </c>
      <c r="L574">
        <v>4</v>
      </c>
      <c r="M574">
        <v>8</v>
      </c>
      <c r="N574" t="str">
        <f t="shared" si="64"/>
        <v>Tiktok</v>
      </c>
      <c r="O574">
        <f t="shared" si="65"/>
        <v>2</v>
      </c>
      <c r="P574" t="str">
        <f t="shared" si="66"/>
        <v>6.8</v>
      </c>
      <c r="Q574" t="str">
        <f t="shared" si="67"/>
        <v>OK</v>
      </c>
      <c r="R574" t="b">
        <f t="shared" si="70"/>
        <v>1</v>
      </c>
      <c r="S574" t="str">
        <f t="shared" si="68"/>
        <v>High</v>
      </c>
      <c r="T574" t="str">
        <f t="shared" si="69"/>
        <v>8</v>
      </c>
      <c r="U574">
        <v>3.8</v>
      </c>
      <c r="V574" t="b">
        <f t="shared" si="71"/>
        <v>1</v>
      </c>
    </row>
    <row r="575" spans="1:22" x14ac:dyDescent="0.25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7.2</v>
      </c>
      <c r="G575" t="s">
        <v>32</v>
      </c>
      <c r="H575" t="s">
        <v>17</v>
      </c>
      <c r="I575">
        <v>5.9</v>
      </c>
      <c r="J575">
        <v>4</v>
      </c>
      <c r="K575" t="s">
        <v>24</v>
      </c>
      <c r="L575">
        <v>5</v>
      </c>
      <c r="M575">
        <v>9</v>
      </c>
      <c r="N575" t="str">
        <f t="shared" si="64"/>
        <v>Facebook</v>
      </c>
      <c r="O575">
        <f t="shared" si="65"/>
        <v>0</v>
      </c>
      <c r="P575" t="str">
        <f t="shared" si="66"/>
        <v>5.9</v>
      </c>
      <c r="Q575" t="str">
        <f t="shared" si="67"/>
        <v>OK</v>
      </c>
      <c r="R575" t="b">
        <f t="shared" si="70"/>
        <v>1</v>
      </c>
      <c r="S575" t="str">
        <f t="shared" si="68"/>
        <v>High</v>
      </c>
      <c r="T575" t="str">
        <f t="shared" si="69"/>
        <v>9</v>
      </c>
      <c r="U575">
        <v>3.8</v>
      </c>
      <c r="V575" t="b">
        <f t="shared" si="71"/>
        <v>1</v>
      </c>
    </row>
    <row r="576" spans="1:22" x14ac:dyDescent="0.25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4.2</v>
      </c>
      <c r="G576" t="s">
        <v>16</v>
      </c>
      <c r="H576" t="s">
        <v>23</v>
      </c>
      <c r="I576">
        <v>7.5</v>
      </c>
      <c r="J576">
        <v>7</v>
      </c>
      <c r="K576" t="s">
        <v>18</v>
      </c>
      <c r="L576">
        <v>2</v>
      </c>
      <c r="M576">
        <v>5</v>
      </c>
      <c r="N576" t="str">
        <f t="shared" si="64"/>
        <v>Instagram</v>
      </c>
      <c r="O576">
        <f t="shared" si="65"/>
        <v>1</v>
      </c>
      <c r="P576" t="str">
        <f t="shared" si="66"/>
        <v>7.5</v>
      </c>
      <c r="Q576" t="str">
        <f t="shared" si="67"/>
        <v>OK</v>
      </c>
      <c r="R576" t="str">
        <f t="shared" si="70"/>
        <v>medium</v>
      </c>
      <c r="S576" t="str">
        <f t="shared" si="68"/>
        <v>Medium</v>
      </c>
      <c r="T576" t="str">
        <f t="shared" si="69"/>
        <v>5</v>
      </c>
      <c r="U576">
        <v>3.8</v>
      </c>
      <c r="V576" t="b">
        <f t="shared" si="71"/>
        <v>1</v>
      </c>
    </row>
    <row r="577" spans="1:22" x14ac:dyDescent="0.25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6.8</v>
      </c>
      <c r="G577" t="s">
        <v>26</v>
      </c>
      <c r="H577" t="s">
        <v>17</v>
      </c>
      <c r="I577">
        <v>6.2</v>
      </c>
      <c r="J577">
        <v>5</v>
      </c>
      <c r="K577" t="s">
        <v>24</v>
      </c>
      <c r="L577">
        <v>4</v>
      </c>
      <c r="M577">
        <v>8</v>
      </c>
      <c r="N577" t="str">
        <f t="shared" si="64"/>
        <v>Tiktok</v>
      </c>
      <c r="O577">
        <f t="shared" si="65"/>
        <v>2</v>
      </c>
      <c r="P577" t="str">
        <f t="shared" si="66"/>
        <v>6.2</v>
      </c>
      <c r="Q577" t="str">
        <f t="shared" si="67"/>
        <v>OK</v>
      </c>
      <c r="R577" t="b">
        <f t="shared" si="70"/>
        <v>1</v>
      </c>
      <c r="S577" t="str">
        <f t="shared" si="68"/>
        <v>High</v>
      </c>
      <c r="T577" t="str">
        <f t="shared" si="69"/>
        <v>8</v>
      </c>
      <c r="U577">
        <v>3.8</v>
      </c>
      <c r="V577" t="b">
        <f t="shared" si="71"/>
        <v>1</v>
      </c>
    </row>
    <row r="578" spans="1:22" x14ac:dyDescent="0.25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5.9</v>
      </c>
      <c r="G578" t="s">
        <v>16</v>
      </c>
      <c r="H578" t="s">
        <v>17</v>
      </c>
      <c r="I578">
        <v>6.7</v>
      </c>
      <c r="J578">
        <v>6</v>
      </c>
      <c r="K578" t="s">
        <v>18</v>
      </c>
      <c r="L578">
        <v>3</v>
      </c>
      <c r="M578">
        <v>7</v>
      </c>
      <c r="N578" t="str">
        <f t="shared" ref="N578:N641" si="72">PROPER(G578)</f>
        <v>Instagram</v>
      </c>
      <c r="O578">
        <f t="shared" ref="O578:O641" si="73">LEN(G578)-LEN(SUBSTITUTE(UPPER(G578),"T",""))</f>
        <v>1</v>
      </c>
      <c r="P578" t="str">
        <f t="shared" ref="P578:P641" si="74">PROPER(I578)</f>
        <v>6.7</v>
      </c>
      <c r="Q578" t="str">
        <f t="shared" ref="Q578:Q641" si="75">(IF(I578&gt;=5,"OK",IF(I578&lt;5,"LESS SLEEP")))</f>
        <v>OK</v>
      </c>
      <c r="R578" t="b">
        <f t="shared" si="70"/>
        <v>1</v>
      </c>
      <c r="S578" t="str">
        <f t="shared" ref="S578:S641" si="76">IF(M578&gt;=7,"High",IF(AND(M578&gt;4,M578&lt;7),"Medium","Low"))</f>
        <v>High</v>
      </c>
      <c r="T578" t="str">
        <f t="shared" ref="T578:T641" si="77">PROPER(M578)</f>
        <v>7</v>
      </c>
      <c r="U578">
        <v>3.8</v>
      </c>
      <c r="V578" t="b">
        <f t="shared" si="71"/>
        <v>1</v>
      </c>
    </row>
    <row r="579" spans="1:22" x14ac:dyDescent="0.25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6.5</v>
      </c>
      <c r="G579" t="s">
        <v>32</v>
      </c>
      <c r="H579" t="s">
        <v>17</v>
      </c>
      <c r="I579">
        <v>6.1</v>
      </c>
      <c r="J579">
        <v>5</v>
      </c>
      <c r="K579" t="s">
        <v>24</v>
      </c>
      <c r="L579">
        <v>4</v>
      </c>
      <c r="M579">
        <v>8</v>
      </c>
      <c r="N579" t="str">
        <f t="shared" si="72"/>
        <v>Facebook</v>
      </c>
      <c r="O579">
        <f t="shared" si="73"/>
        <v>0</v>
      </c>
      <c r="P579" t="str">
        <f t="shared" si="74"/>
        <v>6.1</v>
      </c>
      <c r="Q579" t="str">
        <f t="shared" si="75"/>
        <v>OK</v>
      </c>
      <c r="R579" t="b">
        <f t="shared" si="70"/>
        <v>1</v>
      </c>
      <c r="S579" t="str">
        <f t="shared" si="76"/>
        <v>High</v>
      </c>
      <c r="T579" t="str">
        <f t="shared" si="77"/>
        <v>8</v>
      </c>
      <c r="U579">
        <v>3.8</v>
      </c>
      <c r="V579" t="b">
        <f t="shared" si="71"/>
        <v>1</v>
      </c>
    </row>
    <row r="580" spans="1:22" x14ac:dyDescent="0.25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4.7</v>
      </c>
      <c r="G580" t="s">
        <v>22</v>
      </c>
      <c r="H580" t="s">
        <v>23</v>
      </c>
      <c r="I580">
        <v>7.4</v>
      </c>
      <c r="J580">
        <v>7</v>
      </c>
      <c r="K580" t="s">
        <v>24</v>
      </c>
      <c r="L580">
        <v>2</v>
      </c>
      <c r="M580">
        <v>5</v>
      </c>
      <c r="N580" t="str">
        <f t="shared" si="72"/>
        <v>Twitter</v>
      </c>
      <c r="O580">
        <f t="shared" si="73"/>
        <v>3</v>
      </c>
      <c r="P580" t="str">
        <f t="shared" si="74"/>
        <v>7.4</v>
      </c>
      <c r="Q580" t="str">
        <f t="shared" si="75"/>
        <v>OK</v>
      </c>
      <c r="R580" t="str">
        <f t="shared" ref="R580:R643" si="78">IF(M580&gt;=7,"High"&amp;M580&gt;=4,"medium")</f>
        <v>medium</v>
      </c>
      <c r="S580" t="str">
        <f t="shared" si="76"/>
        <v>Medium</v>
      </c>
      <c r="T580" t="str">
        <f t="shared" si="77"/>
        <v>5</v>
      </c>
      <c r="U580">
        <v>3.8</v>
      </c>
      <c r="V580" t="b">
        <f t="shared" ref="V580:V643" si="79">IF(Q580&gt;=7,"High"&amp;Q580&gt;=4,"medium")</f>
        <v>1</v>
      </c>
    </row>
    <row r="581" spans="1:22" x14ac:dyDescent="0.25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5.2</v>
      </c>
      <c r="G581" t="s">
        <v>16</v>
      </c>
      <c r="H581" t="s">
        <v>17</v>
      </c>
      <c r="I581">
        <v>7</v>
      </c>
      <c r="J581">
        <v>6</v>
      </c>
      <c r="K581" t="s">
        <v>18</v>
      </c>
      <c r="L581">
        <v>3</v>
      </c>
      <c r="M581">
        <v>6</v>
      </c>
      <c r="N581" t="str">
        <f t="shared" si="72"/>
        <v>Instagram</v>
      </c>
      <c r="O581">
        <f t="shared" si="73"/>
        <v>1</v>
      </c>
      <c r="P581" t="str">
        <f t="shared" si="74"/>
        <v>7</v>
      </c>
      <c r="Q581" t="str">
        <f t="shared" si="75"/>
        <v>OK</v>
      </c>
      <c r="R581" t="str">
        <f t="shared" si="78"/>
        <v>medium</v>
      </c>
      <c r="S581" t="str">
        <f t="shared" si="76"/>
        <v>Medium</v>
      </c>
      <c r="T581" t="str">
        <f t="shared" si="77"/>
        <v>6</v>
      </c>
      <c r="U581">
        <v>3.8</v>
      </c>
      <c r="V581" t="b">
        <f t="shared" si="79"/>
        <v>1</v>
      </c>
    </row>
    <row r="582" spans="1:22" x14ac:dyDescent="0.25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6.3</v>
      </c>
      <c r="G582" t="s">
        <v>26</v>
      </c>
      <c r="H582" t="s">
        <v>17</v>
      </c>
      <c r="I582">
        <v>6.4</v>
      </c>
      <c r="J582">
        <v>5</v>
      </c>
      <c r="K582" t="s">
        <v>24</v>
      </c>
      <c r="L582">
        <v>4</v>
      </c>
      <c r="M582">
        <v>8</v>
      </c>
      <c r="N582" t="str">
        <f t="shared" si="72"/>
        <v>Tiktok</v>
      </c>
      <c r="O582">
        <f t="shared" si="73"/>
        <v>2</v>
      </c>
      <c r="P582" t="str">
        <f t="shared" si="74"/>
        <v>6.4</v>
      </c>
      <c r="Q582" t="str">
        <f t="shared" si="75"/>
        <v>OK</v>
      </c>
      <c r="R582" t="b">
        <f t="shared" si="78"/>
        <v>1</v>
      </c>
      <c r="S582" t="str">
        <f t="shared" si="76"/>
        <v>High</v>
      </c>
      <c r="T582" t="str">
        <f t="shared" si="77"/>
        <v>8</v>
      </c>
      <c r="U582">
        <v>3.8</v>
      </c>
      <c r="V582" t="b">
        <f t="shared" si="79"/>
        <v>1</v>
      </c>
    </row>
    <row r="583" spans="1:22" x14ac:dyDescent="0.25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4.9000000000000004</v>
      </c>
      <c r="G583" t="s">
        <v>32</v>
      </c>
      <c r="H583" t="s">
        <v>23</v>
      </c>
      <c r="I583">
        <v>7.3</v>
      </c>
      <c r="J583">
        <v>7</v>
      </c>
      <c r="K583" t="s">
        <v>18</v>
      </c>
      <c r="L583">
        <v>2</v>
      </c>
      <c r="M583">
        <v>5</v>
      </c>
      <c r="N583" t="str">
        <f t="shared" si="72"/>
        <v>Facebook</v>
      </c>
      <c r="O583">
        <f t="shared" si="73"/>
        <v>0</v>
      </c>
      <c r="P583" t="str">
        <f t="shared" si="74"/>
        <v>7.3</v>
      </c>
      <c r="Q583" t="str">
        <f t="shared" si="75"/>
        <v>OK</v>
      </c>
      <c r="R583" t="str">
        <f t="shared" si="78"/>
        <v>medium</v>
      </c>
      <c r="S583" t="str">
        <f t="shared" si="76"/>
        <v>Medium</v>
      </c>
      <c r="T583" t="str">
        <f t="shared" si="77"/>
        <v>5</v>
      </c>
      <c r="U583">
        <v>3.8</v>
      </c>
      <c r="V583" t="b">
        <f t="shared" si="79"/>
        <v>1</v>
      </c>
    </row>
    <row r="584" spans="1:22" x14ac:dyDescent="0.25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6.7</v>
      </c>
      <c r="G584" t="s">
        <v>16</v>
      </c>
      <c r="H584" t="s">
        <v>17</v>
      </c>
      <c r="I584">
        <v>6</v>
      </c>
      <c r="J584">
        <v>5</v>
      </c>
      <c r="K584" t="s">
        <v>24</v>
      </c>
      <c r="L584">
        <v>4</v>
      </c>
      <c r="M584">
        <v>8</v>
      </c>
      <c r="N584" t="str">
        <f t="shared" si="72"/>
        <v>Instagram</v>
      </c>
      <c r="O584">
        <f t="shared" si="73"/>
        <v>1</v>
      </c>
      <c r="P584" t="str">
        <f t="shared" si="74"/>
        <v>6</v>
      </c>
      <c r="Q584" t="str">
        <f t="shared" si="75"/>
        <v>OK</v>
      </c>
      <c r="R584" t="b">
        <f t="shared" si="78"/>
        <v>1</v>
      </c>
      <c r="S584" t="str">
        <f t="shared" si="76"/>
        <v>High</v>
      </c>
      <c r="T584" t="str">
        <f t="shared" si="77"/>
        <v>8</v>
      </c>
      <c r="U584">
        <v>3.8</v>
      </c>
      <c r="V584" t="b">
        <f t="shared" si="79"/>
        <v>1</v>
      </c>
    </row>
    <row r="585" spans="1:22" x14ac:dyDescent="0.25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5.8</v>
      </c>
      <c r="G585" t="s">
        <v>144</v>
      </c>
      <c r="H585" t="s">
        <v>17</v>
      </c>
      <c r="I585">
        <v>6.5</v>
      </c>
      <c r="J585">
        <v>6</v>
      </c>
      <c r="K585" t="s">
        <v>18</v>
      </c>
      <c r="L585">
        <v>3</v>
      </c>
      <c r="M585">
        <v>7</v>
      </c>
      <c r="N585" t="str">
        <f t="shared" si="72"/>
        <v>Wechat</v>
      </c>
      <c r="O585">
        <f t="shared" si="73"/>
        <v>1</v>
      </c>
      <c r="P585" t="str">
        <f t="shared" si="74"/>
        <v>6.5</v>
      </c>
      <c r="Q585" t="str">
        <f t="shared" si="75"/>
        <v>OK</v>
      </c>
      <c r="R585" t="b">
        <f t="shared" si="78"/>
        <v>1</v>
      </c>
      <c r="S585" t="str">
        <f t="shared" si="76"/>
        <v>High</v>
      </c>
      <c r="T585" t="str">
        <f t="shared" si="77"/>
        <v>7</v>
      </c>
      <c r="U585">
        <v>3.8</v>
      </c>
      <c r="V585" t="b">
        <f t="shared" si="79"/>
        <v>1</v>
      </c>
    </row>
    <row r="586" spans="1:22" x14ac:dyDescent="0.25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4.5</v>
      </c>
      <c r="G586" t="s">
        <v>22</v>
      </c>
      <c r="H586" t="s">
        <v>23</v>
      </c>
      <c r="I586">
        <v>7.6</v>
      </c>
      <c r="J586">
        <v>8</v>
      </c>
      <c r="K586" t="s">
        <v>24</v>
      </c>
      <c r="L586">
        <v>2</v>
      </c>
      <c r="M586">
        <v>4</v>
      </c>
      <c r="N586" t="str">
        <f t="shared" si="72"/>
        <v>Twitter</v>
      </c>
      <c r="O586">
        <f t="shared" si="73"/>
        <v>3</v>
      </c>
      <c r="P586" t="str">
        <f t="shared" si="74"/>
        <v>7.6</v>
      </c>
      <c r="Q586" t="str">
        <f t="shared" si="75"/>
        <v>OK</v>
      </c>
      <c r="R586" t="str">
        <f t="shared" si="78"/>
        <v>medium</v>
      </c>
      <c r="S586" t="str">
        <f t="shared" si="76"/>
        <v>Low</v>
      </c>
      <c r="T586" t="str">
        <f t="shared" si="77"/>
        <v>4</v>
      </c>
      <c r="U586">
        <v>3.8</v>
      </c>
      <c r="V586" t="b">
        <f t="shared" si="79"/>
        <v>1</v>
      </c>
    </row>
    <row r="587" spans="1:22" x14ac:dyDescent="0.25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6.4</v>
      </c>
      <c r="G587" t="s">
        <v>32</v>
      </c>
      <c r="H587" t="s">
        <v>17</v>
      </c>
      <c r="I587">
        <v>6.3</v>
      </c>
      <c r="J587">
        <v>5</v>
      </c>
      <c r="K587" t="s">
        <v>24</v>
      </c>
      <c r="L587">
        <v>4</v>
      </c>
      <c r="M587">
        <v>8</v>
      </c>
      <c r="N587" t="str">
        <f t="shared" si="72"/>
        <v>Facebook</v>
      </c>
      <c r="O587">
        <f t="shared" si="73"/>
        <v>0</v>
      </c>
      <c r="P587" t="str">
        <f t="shared" si="74"/>
        <v>6.3</v>
      </c>
      <c r="Q587" t="str">
        <f t="shared" si="75"/>
        <v>OK</v>
      </c>
      <c r="R587" t="b">
        <f t="shared" si="78"/>
        <v>1</v>
      </c>
      <c r="S587" t="str">
        <f t="shared" si="76"/>
        <v>High</v>
      </c>
      <c r="T587" t="str">
        <f t="shared" si="77"/>
        <v>8</v>
      </c>
      <c r="U587">
        <v>3.7</v>
      </c>
      <c r="V587" t="b">
        <f t="shared" si="79"/>
        <v>1</v>
      </c>
    </row>
    <row r="588" spans="1:22" x14ac:dyDescent="0.25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4.0999999999999996</v>
      </c>
      <c r="G588" t="s">
        <v>16</v>
      </c>
      <c r="H588" t="s">
        <v>23</v>
      </c>
      <c r="I588">
        <v>7.7</v>
      </c>
      <c r="J588">
        <v>7</v>
      </c>
      <c r="K588" t="s">
        <v>18</v>
      </c>
      <c r="L588">
        <v>2</v>
      </c>
      <c r="M588">
        <v>5</v>
      </c>
      <c r="N588" t="str">
        <f t="shared" si="72"/>
        <v>Instagram</v>
      </c>
      <c r="O588">
        <f t="shared" si="73"/>
        <v>1</v>
      </c>
      <c r="P588" t="str">
        <f t="shared" si="74"/>
        <v>7.7</v>
      </c>
      <c r="Q588" t="str">
        <f t="shared" si="75"/>
        <v>OK</v>
      </c>
      <c r="R588" t="str">
        <f t="shared" si="78"/>
        <v>medium</v>
      </c>
      <c r="S588" t="str">
        <f t="shared" si="76"/>
        <v>Medium</v>
      </c>
      <c r="T588" t="str">
        <f t="shared" si="77"/>
        <v>5</v>
      </c>
      <c r="U588">
        <v>3.7</v>
      </c>
      <c r="V588" t="b">
        <f t="shared" si="79"/>
        <v>1</v>
      </c>
    </row>
    <row r="589" spans="1:22" x14ac:dyDescent="0.25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6.6</v>
      </c>
      <c r="G589" t="s">
        <v>26</v>
      </c>
      <c r="H589" t="s">
        <v>17</v>
      </c>
      <c r="I589">
        <v>6.2</v>
      </c>
      <c r="J589">
        <v>5</v>
      </c>
      <c r="K589" t="s">
        <v>24</v>
      </c>
      <c r="L589">
        <v>4</v>
      </c>
      <c r="M589">
        <v>8</v>
      </c>
      <c r="N589" t="str">
        <f t="shared" si="72"/>
        <v>Tiktok</v>
      </c>
      <c r="O589">
        <f t="shared" si="73"/>
        <v>2</v>
      </c>
      <c r="P589" t="str">
        <f t="shared" si="74"/>
        <v>6.2</v>
      </c>
      <c r="Q589" t="str">
        <f t="shared" si="75"/>
        <v>OK</v>
      </c>
      <c r="R589" t="b">
        <f t="shared" si="78"/>
        <v>1</v>
      </c>
      <c r="S589" t="str">
        <f t="shared" si="76"/>
        <v>High</v>
      </c>
      <c r="T589" t="str">
        <f t="shared" si="77"/>
        <v>8</v>
      </c>
      <c r="U589">
        <v>3.7</v>
      </c>
      <c r="V589" t="b">
        <f t="shared" si="79"/>
        <v>1</v>
      </c>
    </row>
    <row r="590" spans="1:22" x14ac:dyDescent="0.25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4.4000000000000004</v>
      </c>
      <c r="G590" t="s">
        <v>16</v>
      </c>
      <c r="H590" t="s">
        <v>23</v>
      </c>
      <c r="I590">
        <v>7.4</v>
      </c>
      <c r="J590">
        <v>7</v>
      </c>
      <c r="K590" t="s">
        <v>18</v>
      </c>
      <c r="L590">
        <v>2</v>
      </c>
      <c r="M590">
        <v>5</v>
      </c>
      <c r="N590" t="str">
        <f t="shared" si="72"/>
        <v>Instagram</v>
      </c>
      <c r="O590">
        <f t="shared" si="73"/>
        <v>1</v>
      </c>
      <c r="P590" t="str">
        <f t="shared" si="74"/>
        <v>7.4</v>
      </c>
      <c r="Q590" t="str">
        <f t="shared" si="75"/>
        <v>OK</v>
      </c>
      <c r="R590" t="str">
        <f t="shared" si="78"/>
        <v>medium</v>
      </c>
      <c r="S590" t="str">
        <f t="shared" si="76"/>
        <v>Medium</v>
      </c>
      <c r="T590" t="str">
        <f t="shared" si="77"/>
        <v>5</v>
      </c>
      <c r="U590">
        <v>3.7</v>
      </c>
      <c r="V590" t="b">
        <f t="shared" si="79"/>
        <v>1</v>
      </c>
    </row>
    <row r="591" spans="1:22" x14ac:dyDescent="0.25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5.7</v>
      </c>
      <c r="G591" t="s">
        <v>22</v>
      </c>
      <c r="H591" t="s">
        <v>17</v>
      </c>
      <c r="I591">
        <v>6.8</v>
      </c>
      <c r="J591">
        <v>6</v>
      </c>
      <c r="K591" t="s">
        <v>24</v>
      </c>
      <c r="L591">
        <v>3</v>
      </c>
      <c r="M591">
        <v>7</v>
      </c>
      <c r="N591" t="str">
        <f t="shared" si="72"/>
        <v>Twitter</v>
      </c>
      <c r="O591">
        <f t="shared" si="73"/>
        <v>3</v>
      </c>
      <c r="P591" t="str">
        <f t="shared" si="74"/>
        <v>6.8</v>
      </c>
      <c r="Q591" t="str">
        <f t="shared" si="75"/>
        <v>OK</v>
      </c>
      <c r="R591" t="b">
        <f t="shared" si="78"/>
        <v>1</v>
      </c>
      <c r="S591" t="str">
        <f t="shared" si="76"/>
        <v>High</v>
      </c>
      <c r="T591" t="str">
        <f t="shared" si="77"/>
        <v>7</v>
      </c>
      <c r="U591">
        <v>3.7</v>
      </c>
      <c r="V591" t="b">
        <f t="shared" si="79"/>
        <v>1</v>
      </c>
    </row>
    <row r="592" spans="1:22" x14ac:dyDescent="0.25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7</v>
      </c>
      <c r="G592" t="s">
        <v>16</v>
      </c>
      <c r="H592" t="s">
        <v>17</v>
      </c>
      <c r="I592">
        <v>5.8</v>
      </c>
      <c r="J592">
        <v>4</v>
      </c>
      <c r="K592" t="s">
        <v>24</v>
      </c>
      <c r="L592">
        <v>5</v>
      </c>
      <c r="M592">
        <v>9</v>
      </c>
      <c r="N592" t="str">
        <f t="shared" si="72"/>
        <v>Instagram</v>
      </c>
      <c r="O592">
        <f t="shared" si="73"/>
        <v>1</v>
      </c>
      <c r="P592" t="str">
        <f t="shared" si="74"/>
        <v>5.8</v>
      </c>
      <c r="Q592" t="str">
        <f t="shared" si="75"/>
        <v>OK</v>
      </c>
      <c r="R592" t="b">
        <f t="shared" si="78"/>
        <v>1</v>
      </c>
      <c r="S592" t="str">
        <f t="shared" si="76"/>
        <v>High</v>
      </c>
      <c r="T592" t="str">
        <f t="shared" si="77"/>
        <v>9</v>
      </c>
      <c r="U592">
        <v>3.7</v>
      </c>
      <c r="V592" t="b">
        <f t="shared" si="79"/>
        <v>1</v>
      </c>
    </row>
    <row r="593" spans="1:22" x14ac:dyDescent="0.25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4.3</v>
      </c>
      <c r="G593" t="s">
        <v>32</v>
      </c>
      <c r="H593" t="s">
        <v>23</v>
      </c>
      <c r="I593">
        <v>7.5</v>
      </c>
      <c r="J593">
        <v>7</v>
      </c>
      <c r="K593" t="s">
        <v>18</v>
      </c>
      <c r="L593">
        <v>2</v>
      </c>
      <c r="M593">
        <v>5</v>
      </c>
      <c r="N593" t="str">
        <f t="shared" si="72"/>
        <v>Facebook</v>
      </c>
      <c r="O593">
        <f t="shared" si="73"/>
        <v>0</v>
      </c>
      <c r="P593" t="str">
        <f t="shared" si="74"/>
        <v>7.5</v>
      </c>
      <c r="Q593" t="str">
        <f t="shared" si="75"/>
        <v>OK</v>
      </c>
      <c r="R593" t="str">
        <f t="shared" si="78"/>
        <v>medium</v>
      </c>
      <c r="S593" t="str">
        <f t="shared" si="76"/>
        <v>Medium</v>
      </c>
      <c r="T593" t="str">
        <f t="shared" si="77"/>
        <v>5</v>
      </c>
      <c r="U593">
        <v>3.7</v>
      </c>
      <c r="V593" t="b">
        <f t="shared" si="79"/>
        <v>1</v>
      </c>
    </row>
    <row r="594" spans="1:22" x14ac:dyDescent="0.25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6.9</v>
      </c>
      <c r="G594" t="s">
        <v>26</v>
      </c>
      <c r="H594" t="s">
        <v>17</v>
      </c>
      <c r="I594">
        <v>6.1</v>
      </c>
      <c r="J594">
        <v>5</v>
      </c>
      <c r="K594" t="s">
        <v>24</v>
      </c>
      <c r="L594">
        <v>4</v>
      </c>
      <c r="M594">
        <v>8</v>
      </c>
      <c r="N594" t="str">
        <f t="shared" si="72"/>
        <v>Tiktok</v>
      </c>
      <c r="O594">
        <f t="shared" si="73"/>
        <v>2</v>
      </c>
      <c r="P594" t="str">
        <f t="shared" si="74"/>
        <v>6.1</v>
      </c>
      <c r="Q594" t="str">
        <f t="shared" si="75"/>
        <v>OK</v>
      </c>
      <c r="R594" t="b">
        <f t="shared" si="78"/>
        <v>1</v>
      </c>
      <c r="S594" t="str">
        <f t="shared" si="76"/>
        <v>High</v>
      </c>
      <c r="T594" t="str">
        <f t="shared" si="77"/>
        <v>8</v>
      </c>
      <c r="U594">
        <v>3.7</v>
      </c>
      <c r="V594" t="b">
        <f t="shared" si="79"/>
        <v>1</v>
      </c>
    </row>
    <row r="595" spans="1:22" x14ac:dyDescent="0.25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5.6</v>
      </c>
      <c r="G595" t="s">
        <v>16</v>
      </c>
      <c r="H595" t="s">
        <v>17</v>
      </c>
      <c r="I595">
        <v>6.9</v>
      </c>
      <c r="J595">
        <v>6</v>
      </c>
      <c r="K595" t="s">
        <v>18</v>
      </c>
      <c r="L595">
        <v>3</v>
      </c>
      <c r="M595">
        <v>7</v>
      </c>
      <c r="N595" t="str">
        <f t="shared" si="72"/>
        <v>Instagram</v>
      </c>
      <c r="O595">
        <f t="shared" si="73"/>
        <v>1</v>
      </c>
      <c r="P595" t="str">
        <f t="shared" si="74"/>
        <v>6.9</v>
      </c>
      <c r="Q595" t="str">
        <f t="shared" si="75"/>
        <v>OK</v>
      </c>
      <c r="R595" t="b">
        <f t="shared" si="78"/>
        <v>1</v>
      </c>
      <c r="S595" t="str">
        <f t="shared" si="76"/>
        <v>High</v>
      </c>
      <c r="T595" t="str">
        <f t="shared" si="77"/>
        <v>7</v>
      </c>
      <c r="U595">
        <v>3.7</v>
      </c>
      <c r="V595" t="b">
        <f t="shared" si="79"/>
        <v>1</v>
      </c>
    </row>
    <row r="596" spans="1:22" x14ac:dyDescent="0.25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6.2</v>
      </c>
      <c r="G596" t="s">
        <v>32</v>
      </c>
      <c r="H596" t="s">
        <v>17</v>
      </c>
      <c r="I596">
        <v>6.3</v>
      </c>
      <c r="J596">
        <v>5</v>
      </c>
      <c r="K596" t="s">
        <v>24</v>
      </c>
      <c r="L596">
        <v>4</v>
      </c>
      <c r="M596">
        <v>8</v>
      </c>
      <c r="N596" t="str">
        <f t="shared" si="72"/>
        <v>Facebook</v>
      </c>
      <c r="O596">
        <f t="shared" si="73"/>
        <v>0</v>
      </c>
      <c r="P596" t="str">
        <f t="shared" si="74"/>
        <v>6.3</v>
      </c>
      <c r="Q596" t="str">
        <f t="shared" si="75"/>
        <v>OK</v>
      </c>
      <c r="R596" t="b">
        <f t="shared" si="78"/>
        <v>1</v>
      </c>
      <c r="S596" t="str">
        <f t="shared" si="76"/>
        <v>High</v>
      </c>
      <c r="T596" t="str">
        <f t="shared" si="77"/>
        <v>8</v>
      </c>
      <c r="U596">
        <v>3.7</v>
      </c>
      <c r="V596" t="b">
        <f t="shared" si="79"/>
        <v>1</v>
      </c>
    </row>
    <row r="597" spans="1:22" x14ac:dyDescent="0.25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5.8</v>
      </c>
      <c r="G597" t="s">
        <v>16</v>
      </c>
      <c r="H597" t="s">
        <v>17</v>
      </c>
      <c r="I597">
        <v>6.7</v>
      </c>
      <c r="J597">
        <v>6</v>
      </c>
      <c r="K597" t="s">
        <v>24</v>
      </c>
      <c r="L597">
        <v>3</v>
      </c>
      <c r="M597">
        <v>7</v>
      </c>
      <c r="N597" t="str">
        <f t="shared" si="72"/>
        <v>Instagram</v>
      </c>
      <c r="O597">
        <f t="shared" si="73"/>
        <v>1</v>
      </c>
      <c r="P597" t="str">
        <f t="shared" si="74"/>
        <v>6.7</v>
      </c>
      <c r="Q597" t="str">
        <f t="shared" si="75"/>
        <v>OK</v>
      </c>
      <c r="R597" t="b">
        <f t="shared" si="78"/>
        <v>1</v>
      </c>
      <c r="S597" t="str">
        <f t="shared" si="76"/>
        <v>High</v>
      </c>
      <c r="T597" t="str">
        <f t="shared" si="77"/>
        <v>7</v>
      </c>
      <c r="U597">
        <v>3.7</v>
      </c>
      <c r="V597" t="b">
        <f t="shared" si="79"/>
        <v>1</v>
      </c>
    </row>
    <row r="598" spans="1:22" x14ac:dyDescent="0.25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4.9000000000000004</v>
      </c>
      <c r="G598" t="s">
        <v>26</v>
      </c>
      <c r="H598" t="s">
        <v>23</v>
      </c>
      <c r="I598">
        <v>7.3</v>
      </c>
      <c r="J598">
        <v>7</v>
      </c>
      <c r="K598" t="s">
        <v>18</v>
      </c>
      <c r="L598">
        <v>2</v>
      </c>
      <c r="M598">
        <v>5</v>
      </c>
      <c r="N598" t="str">
        <f t="shared" si="72"/>
        <v>Tiktok</v>
      </c>
      <c r="O598">
        <f t="shared" si="73"/>
        <v>2</v>
      </c>
      <c r="P598" t="str">
        <f t="shared" si="74"/>
        <v>7.3</v>
      </c>
      <c r="Q598" t="str">
        <f t="shared" si="75"/>
        <v>OK</v>
      </c>
      <c r="R598" t="str">
        <f t="shared" si="78"/>
        <v>medium</v>
      </c>
      <c r="S598" t="str">
        <f t="shared" si="76"/>
        <v>Medium</v>
      </c>
      <c r="T598" t="str">
        <f t="shared" si="77"/>
        <v>5</v>
      </c>
      <c r="U598">
        <v>3.7</v>
      </c>
      <c r="V598" t="b">
        <f t="shared" si="79"/>
        <v>1</v>
      </c>
    </row>
    <row r="599" spans="1:22" x14ac:dyDescent="0.25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6.4</v>
      </c>
      <c r="G599" t="s">
        <v>32</v>
      </c>
      <c r="H599" t="s">
        <v>17</v>
      </c>
      <c r="I599">
        <v>6.2</v>
      </c>
      <c r="J599">
        <v>5</v>
      </c>
      <c r="K599" t="s">
        <v>24</v>
      </c>
      <c r="L599">
        <v>4</v>
      </c>
      <c r="M599">
        <v>8</v>
      </c>
      <c r="N599" t="str">
        <f t="shared" si="72"/>
        <v>Facebook</v>
      </c>
      <c r="O599">
        <f t="shared" si="73"/>
        <v>0</v>
      </c>
      <c r="P599" t="str">
        <f t="shared" si="74"/>
        <v>6.2</v>
      </c>
      <c r="Q599" t="str">
        <f t="shared" si="75"/>
        <v>OK</v>
      </c>
      <c r="R599" t="b">
        <f t="shared" si="78"/>
        <v>1</v>
      </c>
      <c r="S599" t="str">
        <f t="shared" si="76"/>
        <v>High</v>
      </c>
      <c r="T599" t="str">
        <f t="shared" si="77"/>
        <v>8</v>
      </c>
      <c r="U599">
        <v>3.7</v>
      </c>
      <c r="V599" t="b">
        <f t="shared" si="79"/>
        <v>1</v>
      </c>
    </row>
    <row r="600" spans="1:22" x14ac:dyDescent="0.25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5.0999999999999996</v>
      </c>
      <c r="G600" t="s">
        <v>22</v>
      </c>
      <c r="H600" t="s">
        <v>23</v>
      </c>
      <c r="I600">
        <v>7.1</v>
      </c>
      <c r="J600">
        <v>7</v>
      </c>
      <c r="K600" t="s">
        <v>18</v>
      </c>
      <c r="L600">
        <v>2</v>
      </c>
      <c r="M600">
        <v>5</v>
      </c>
      <c r="N600" t="str">
        <f t="shared" si="72"/>
        <v>Twitter</v>
      </c>
      <c r="O600">
        <f t="shared" si="73"/>
        <v>3</v>
      </c>
      <c r="P600" t="str">
        <f t="shared" si="74"/>
        <v>7.1</v>
      </c>
      <c r="Q600" t="str">
        <f t="shared" si="75"/>
        <v>OK</v>
      </c>
      <c r="R600" t="str">
        <f t="shared" si="78"/>
        <v>medium</v>
      </c>
      <c r="S600" t="str">
        <f t="shared" si="76"/>
        <v>Medium</v>
      </c>
      <c r="T600" t="str">
        <f t="shared" si="77"/>
        <v>5</v>
      </c>
      <c r="U600">
        <v>3.7</v>
      </c>
      <c r="V600" t="b">
        <f t="shared" si="79"/>
        <v>1</v>
      </c>
    </row>
    <row r="601" spans="1:22" x14ac:dyDescent="0.25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6.7</v>
      </c>
      <c r="G601" t="s">
        <v>16</v>
      </c>
      <c r="H601" t="s">
        <v>17</v>
      </c>
      <c r="I601">
        <v>6</v>
      </c>
      <c r="J601">
        <v>4</v>
      </c>
      <c r="K601" t="s">
        <v>24</v>
      </c>
      <c r="L601">
        <v>4</v>
      </c>
      <c r="M601">
        <v>8</v>
      </c>
      <c r="N601" t="str">
        <f t="shared" si="72"/>
        <v>Instagram</v>
      </c>
      <c r="O601">
        <f t="shared" si="73"/>
        <v>1</v>
      </c>
      <c r="P601" t="str">
        <f t="shared" si="74"/>
        <v>6</v>
      </c>
      <c r="Q601" t="str">
        <f t="shared" si="75"/>
        <v>OK</v>
      </c>
      <c r="R601" t="b">
        <f t="shared" si="78"/>
        <v>1</v>
      </c>
      <c r="S601" t="str">
        <f t="shared" si="76"/>
        <v>High</v>
      </c>
      <c r="T601" t="str">
        <f t="shared" si="77"/>
        <v>8</v>
      </c>
      <c r="U601">
        <v>3.7</v>
      </c>
      <c r="V601" t="b">
        <f t="shared" si="79"/>
        <v>1</v>
      </c>
    </row>
    <row r="602" spans="1:22" x14ac:dyDescent="0.25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5.5</v>
      </c>
      <c r="G602" t="s">
        <v>144</v>
      </c>
      <c r="H602" t="s">
        <v>17</v>
      </c>
      <c r="I602">
        <v>6.8</v>
      </c>
      <c r="J602">
        <v>6</v>
      </c>
      <c r="K602" t="s">
        <v>18</v>
      </c>
      <c r="L602">
        <v>3</v>
      </c>
      <c r="M602">
        <v>7</v>
      </c>
      <c r="N602" t="str">
        <f t="shared" si="72"/>
        <v>Wechat</v>
      </c>
      <c r="O602">
        <f t="shared" si="73"/>
        <v>1</v>
      </c>
      <c r="P602" t="str">
        <f t="shared" si="74"/>
        <v>6.8</v>
      </c>
      <c r="Q602" t="str">
        <f t="shared" si="75"/>
        <v>OK</v>
      </c>
      <c r="R602" t="b">
        <f t="shared" si="78"/>
        <v>1</v>
      </c>
      <c r="S602" t="str">
        <f t="shared" si="76"/>
        <v>High</v>
      </c>
      <c r="T602" t="str">
        <f t="shared" si="77"/>
        <v>7</v>
      </c>
      <c r="U602">
        <v>3.6</v>
      </c>
      <c r="V602" t="b">
        <f t="shared" si="79"/>
        <v>1</v>
      </c>
    </row>
    <row r="603" spans="1:22" x14ac:dyDescent="0.25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4.3</v>
      </c>
      <c r="G603" t="s">
        <v>22</v>
      </c>
      <c r="H603" t="s">
        <v>23</v>
      </c>
      <c r="I603">
        <v>7.6</v>
      </c>
      <c r="J603">
        <v>8</v>
      </c>
      <c r="K603" t="s">
        <v>24</v>
      </c>
      <c r="L603">
        <v>2</v>
      </c>
      <c r="M603">
        <v>4</v>
      </c>
      <c r="N603" t="str">
        <f t="shared" si="72"/>
        <v>Twitter</v>
      </c>
      <c r="O603">
        <f t="shared" si="73"/>
        <v>3</v>
      </c>
      <c r="P603" t="str">
        <f t="shared" si="74"/>
        <v>7.6</v>
      </c>
      <c r="Q603" t="str">
        <f t="shared" si="75"/>
        <v>OK</v>
      </c>
      <c r="R603" t="str">
        <f t="shared" si="78"/>
        <v>medium</v>
      </c>
      <c r="S603" t="str">
        <f t="shared" si="76"/>
        <v>Low</v>
      </c>
      <c r="T603" t="str">
        <f t="shared" si="77"/>
        <v>4</v>
      </c>
      <c r="U603">
        <v>3.6</v>
      </c>
      <c r="V603" t="b">
        <f t="shared" si="79"/>
        <v>1</v>
      </c>
    </row>
    <row r="604" spans="1:22" x14ac:dyDescent="0.25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6.2</v>
      </c>
      <c r="G604" t="s">
        <v>16</v>
      </c>
      <c r="H604" t="s">
        <v>17</v>
      </c>
      <c r="I604">
        <v>6.4</v>
      </c>
      <c r="J604">
        <v>5</v>
      </c>
      <c r="K604" t="s">
        <v>24</v>
      </c>
      <c r="L604">
        <v>4</v>
      </c>
      <c r="M604">
        <v>8</v>
      </c>
      <c r="N604" t="str">
        <f t="shared" si="72"/>
        <v>Instagram</v>
      </c>
      <c r="O604">
        <f t="shared" si="73"/>
        <v>1</v>
      </c>
      <c r="P604" t="str">
        <f t="shared" si="74"/>
        <v>6.4</v>
      </c>
      <c r="Q604" t="str">
        <f t="shared" si="75"/>
        <v>OK</v>
      </c>
      <c r="R604" t="b">
        <f t="shared" si="78"/>
        <v>1</v>
      </c>
      <c r="S604" t="str">
        <f t="shared" si="76"/>
        <v>High</v>
      </c>
      <c r="T604" t="str">
        <f t="shared" si="77"/>
        <v>8</v>
      </c>
      <c r="U604">
        <v>3.6</v>
      </c>
      <c r="V604" t="b">
        <f t="shared" si="79"/>
        <v>1</v>
      </c>
    </row>
    <row r="605" spans="1:22" x14ac:dyDescent="0.25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4.5</v>
      </c>
      <c r="G605" t="s">
        <v>32</v>
      </c>
      <c r="H605" t="s">
        <v>23</v>
      </c>
      <c r="I605">
        <v>7.4</v>
      </c>
      <c r="J605">
        <v>7</v>
      </c>
      <c r="K605" t="s">
        <v>18</v>
      </c>
      <c r="L605">
        <v>2</v>
      </c>
      <c r="M605">
        <v>5</v>
      </c>
      <c r="N605" t="str">
        <f t="shared" si="72"/>
        <v>Facebook</v>
      </c>
      <c r="O605">
        <f t="shared" si="73"/>
        <v>0</v>
      </c>
      <c r="P605" t="str">
        <f t="shared" si="74"/>
        <v>7.4</v>
      </c>
      <c r="Q605" t="str">
        <f t="shared" si="75"/>
        <v>OK</v>
      </c>
      <c r="R605" t="str">
        <f t="shared" si="78"/>
        <v>medium</v>
      </c>
      <c r="S605" t="str">
        <f t="shared" si="76"/>
        <v>Medium</v>
      </c>
      <c r="T605" t="str">
        <f t="shared" si="77"/>
        <v>5</v>
      </c>
      <c r="U605">
        <v>3.6</v>
      </c>
      <c r="V605" t="b">
        <f t="shared" si="79"/>
        <v>1</v>
      </c>
    </row>
    <row r="606" spans="1:22" x14ac:dyDescent="0.25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 t="s">
        <v>26</v>
      </c>
      <c r="H606" t="s">
        <v>17</v>
      </c>
      <c r="I606">
        <v>6.3</v>
      </c>
      <c r="J606">
        <v>5</v>
      </c>
      <c r="K606" t="s">
        <v>24</v>
      </c>
      <c r="L606">
        <v>4</v>
      </c>
      <c r="M606">
        <v>8</v>
      </c>
      <c r="N606" t="str">
        <f t="shared" si="72"/>
        <v>Tiktok</v>
      </c>
      <c r="O606">
        <f t="shared" si="73"/>
        <v>2</v>
      </c>
      <c r="P606" t="str">
        <f t="shared" si="74"/>
        <v>6.3</v>
      </c>
      <c r="Q606" t="str">
        <f t="shared" si="75"/>
        <v>OK</v>
      </c>
      <c r="R606" t="b">
        <f t="shared" si="78"/>
        <v>1</v>
      </c>
      <c r="S606" t="str">
        <f t="shared" si="76"/>
        <v>High</v>
      </c>
      <c r="T606" t="str">
        <f t="shared" si="77"/>
        <v>8</v>
      </c>
      <c r="U606">
        <v>3.6</v>
      </c>
      <c r="V606" t="b">
        <f t="shared" si="79"/>
        <v>1</v>
      </c>
    </row>
    <row r="607" spans="1:22" x14ac:dyDescent="0.25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4.7</v>
      </c>
      <c r="G607" t="s">
        <v>16</v>
      </c>
      <c r="H607" t="s">
        <v>23</v>
      </c>
      <c r="I607">
        <v>7.2</v>
      </c>
      <c r="J607">
        <v>7</v>
      </c>
      <c r="K607" t="s">
        <v>18</v>
      </c>
      <c r="L607">
        <v>2</v>
      </c>
      <c r="M607">
        <v>5</v>
      </c>
      <c r="N607" t="str">
        <f t="shared" si="72"/>
        <v>Instagram</v>
      </c>
      <c r="O607">
        <f t="shared" si="73"/>
        <v>1</v>
      </c>
      <c r="P607" t="str">
        <f t="shared" si="74"/>
        <v>7.2</v>
      </c>
      <c r="Q607" t="str">
        <f t="shared" si="75"/>
        <v>OK</v>
      </c>
      <c r="R607" t="str">
        <f t="shared" si="78"/>
        <v>medium</v>
      </c>
      <c r="S607" t="str">
        <f t="shared" si="76"/>
        <v>Medium</v>
      </c>
      <c r="T607" t="str">
        <f t="shared" si="77"/>
        <v>5</v>
      </c>
      <c r="U607">
        <v>3.6</v>
      </c>
      <c r="V607" t="b">
        <f t="shared" si="79"/>
        <v>1</v>
      </c>
    </row>
    <row r="608" spans="1:22" x14ac:dyDescent="0.25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5.9</v>
      </c>
      <c r="G608" t="s">
        <v>22</v>
      </c>
      <c r="H608" t="s">
        <v>17</v>
      </c>
      <c r="I608">
        <v>6.6</v>
      </c>
      <c r="J608">
        <v>6</v>
      </c>
      <c r="K608" t="s">
        <v>24</v>
      </c>
      <c r="L608">
        <v>3</v>
      </c>
      <c r="M608">
        <v>7</v>
      </c>
      <c r="N608" t="str">
        <f t="shared" si="72"/>
        <v>Twitter</v>
      </c>
      <c r="O608">
        <f t="shared" si="73"/>
        <v>3</v>
      </c>
      <c r="P608" t="str">
        <f t="shared" si="74"/>
        <v>6.6</v>
      </c>
      <c r="Q608" t="str">
        <f t="shared" si="75"/>
        <v>OK</v>
      </c>
      <c r="R608" t="b">
        <f t="shared" si="78"/>
        <v>1</v>
      </c>
      <c r="S608" t="str">
        <f t="shared" si="76"/>
        <v>High</v>
      </c>
      <c r="T608" t="str">
        <f t="shared" si="77"/>
        <v>7</v>
      </c>
      <c r="U608">
        <v>3.6</v>
      </c>
      <c r="V608" t="b">
        <f t="shared" si="79"/>
        <v>1</v>
      </c>
    </row>
    <row r="609" spans="1:22" x14ac:dyDescent="0.25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7.1</v>
      </c>
      <c r="G609" t="s">
        <v>32</v>
      </c>
      <c r="H609" t="s">
        <v>17</v>
      </c>
      <c r="I609">
        <v>5.7</v>
      </c>
      <c r="J609">
        <v>4</v>
      </c>
      <c r="K609" t="s">
        <v>24</v>
      </c>
      <c r="L609">
        <v>5</v>
      </c>
      <c r="M609">
        <v>9</v>
      </c>
      <c r="N609" t="str">
        <f t="shared" si="72"/>
        <v>Facebook</v>
      </c>
      <c r="O609">
        <f t="shared" si="73"/>
        <v>0</v>
      </c>
      <c r="P609" t="str">
        <f t="shared" si="74"/>
        <v>5.7</v>
      </c>
      <c r="Q609" t="str">
        <f t="shared" si="75"/>
        <v>OK</v>
      </c>
      <c r="R609" t="b">
        <f t="shared" si="78"/>
        <v>1</v>
      </c>
      <c r="S609" t="str">
        <f t="shared" si="76"/>
        <v>High</v>
      </c>
      <c r="T609" t="str">
        <f t="shared" si="77"/>
        <v>9</v>
      </c>
      <c r="U609">
        <v>3.6</v>
      </c>
      <c r="V609" t="b">
        <f t="shared" si="79"/>
        <v>1</v>
      </c>
    </row>
    <row r="610" spans="1:22" x14ac:dyDescent="0.25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4.4000000000000004</v>
      </c>
      <c r="G610" t="s">
        <v>16</v>
      </c>
      <c r="H610" t="s">
        <v>23</v>
      </c>
      <c r="I610">
        <v>7.4</v>
      </c>
      <c r="J610">
        <v>7</v>
      </c>
      <c r="K610" t="s">
        <v>18</v>
      </c>
      <c r="L610">
        <v>2</v>
      </c>
      <c r="M610">
        <v>5</v>
      </c>
      <c r="N610" t="str">
        <f t="shared" si="72"/>
        <v>Instagram</v>
      </c>
      <c r="O610">
        <f t="shared" si="73"/>
        <v>1</v>
      </c>
      <c r="P610" t="str">
        <f t="shared" si="74"/>
        <v>7.4</v>
      </c>
      <c r="Q610" t="str">
        <f t="shared" si="75"/>
        <v>OK</v>
      </c>
      <c r="R610" t="str">
        <f t="shared" si="78"/>
        <v>medium</v>
      </c>
      <c r="S610" t="str">
        <f t="shared" si="76"/>
        <v>Medium</v>
      </c>
      <c r="T610" t="str">
        <f t="shared" si="77"/>
        <v>5</v>
      </c>
      <c r="U610">
        <v>3.6</v>
      </c>
      <c r="V610" t="b">
        <f t="shared" si="79"/>
        <v>1</v>
      </c>
    </row>
    <row r="611" spans="1:22" x14ac:dyDescent="0.25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6.6</v>
      </c>
      <c r="G611" t="s">
        <v>26</v>
      </c>
      <c r="H611" t="s">
        <v>17</v>
      </c>
      <c r="I611">
        <v>6.2</v>
      </c>
      <c r="J611">
        <v>5</v>
      </c>
      <c r="K611" t="s">
        <v>24</v>
      </c>
      <c r="L611">
        <v>4</v>
      </c>
      <c r="M611">
        <v>8</v>
      </c>
      <c r="N611" t="str">
        <f t="shared" si="72"/>
        <v>Tiktok</v>
      </c>
      <c r="O611">
        <f t="shared" si="73"/>
        <v>2</v>
      </c>
      <c r="P611" t="str">
        <f t="shared" si="74"/>
        <v>6.2</v>
      </c>
      <c r="Q611" t="str">
        <f t="shared" si="75"/>
        <v>OK</v>
      </c>
      <c r="R611" t="b">
        <f t="shared" si="78"/>
        <v>1</v>
      </c>
      <c r="S611" t="str">
        <f t="shared" si="76"/>
        <v>High</v>
      </c>
      <c r="T611" t="str">
        <f t="shared" si="77"/>
        <v>8</v>
      </c>
      <c r="U611">
        <v>3.6</v>
      </c>
      <c r="V611" t="b">
        <f t="shared" si="79"/>
        <v>1</v>
      </c>
    </row>
    <row r="612" spans="1:22" x14ac:dyDescent="0.25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5.4</v>
      </c>
      <c r="G612" t="s">
        <v>16</v>
      </c>
      <c r="H612" t="s">
        <v>17</v>
      </c>
      <c r="I612">
        <v>6.9</v>
      </c>
      <c r="J612">
        <v>6</v>
      </c>
      <c r="K612" t="s">
        <v>18</v>
      </c>
      <c r="L612">
        <v>3</v>
      </c>
      <c r="M612">
        <v>7</v>
      </c>
      <c r="N612" t="str">
        <f t="shared" si="72"/>
        <v>Instagram</v>
      </c>
      <c r="O612">
        <f t="shared" si="73"/>
        <v>1</v>
      </c>
      <c r="P612" t="str">
        <f t="shared" si="74"/>
        <v>6.9</v>
      </c>
      <c r="Q612" t="str">
        <f t="shared" si="75"/>
        <v>OK</v>
      </c>
      <c r="R612" t="b">
        <f t="shared" si="78"/>
        <v>1</v>
      </c>
      <c r="S612" t="str">
        <f t="shared" si="76"/>
        <v>High</v>
      </c>
      <c r="T612" t="str">
        <f t="shared" si="77"/>
        <v>7</v>
      </c>
      <c r="U612">
        <v>3.6</v>
      </c>
      <c r="V612" t="b">
        <f t="shared" si="79"/>
        <v>1</v>
      </c>
    </row>
    <row r="613" spans="1:22" x14ac:dyDescent="0.25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6.5</v>
      </c>
      <c r="G613" t="s">
        <v>32</v>
      </c>
      <c r="H613" t="s">
        <v>17</v>
      </c>
      <c r="I613">
        <v>6.1</v>
      </c>
      <c r="J613">
        <v>5</v>
      </c>
      <c r="K613" t="s">
        <v>24</v>
      </c>
      <c r="L613">
        <v>4</v>
      </c>
      <c r="M613">
        <v>8</v>
      </c>
      <c r="N613" t="str">
        <f t="shared" si="72"/>
        <v>Facebook</v>
      </c>
      <c r="O613">
        <f t="shared" si="73"/>
        <v>0</v>
      </c>
      <c r="P613" t="str">
        <f t="shared" si="74"/>
        <v>6.1</v>
      </c>
      <c r="Q613" t="str">
        <f t="shared" si="75"/>
        <v>OK</v>
      </c>
      <c r="R613" t="b">
        <f t="shared" si="78"/>
        <v>1</v>
      </c>
      <c r="S613" t="str">
        <f t="shared" si="76"/>
        <v>High</v>
      </c>
      <c r="T613" t="str">
        <f t="shared" si="77"/>
        <v>8</v>
      </c>
      <c r="U613">
        <v>3.6</v>
      </c>
      <c r="V613" t="b">
        <f t="shared" si="79"/>
        <v>1</v>
      </c>
    </row>
    <row r="614" spans="1:22" x14ac:dyDescent="0.25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4.8</v>
      </c>
      <c r="G614" t="s">
        <v>22</v>
      </c>
      <c r="H614" t="s">
        <v>23</v>
      </c>
      <c r="I614">
        <v>7.3</v>
      </c>
      <c r="J614">
        <v>7</v>
      </c>
      <c r="K614" t="s">
        <v>18</v>
      </c>
      <c r="L614">
        <v>2</v>
      </c>
      <c r="M614">
        <v>5</v>
      </c>
      <c r="N614" t="str">
        <f t="shared" si="72"/>
        <v>Twitter</v>
      </c>
      <c r="O614">
        <f t="shared" si="73"/>
        <v>3</v>
      </c>
      <c r="P614" t="str">
        <f t="shared" si="74"/>
        <v>7.3</v>
      </c>
      <c r="Q614" t="str">
        <f t="shared" si="75"/>
        <v>OK</v>
      </c>
      <c r="R614" t="str">
        <f t="shared" si="78"/>
        <v>medium</v>
      </c>
      <c r="S614" t="str">
        <f t="shared" si="76"/>
        <v>Medium</v>
      </c>
      <c r="T614" t="str">
        <f t="shared" si="77"/>
        <v>5</v>
      </c>
      <c r="U614">
        <v>3.6</v>
      </c>
      <c r="V614" t="b">
        <f t="shared" si="79"/>
        <v>1</v>
      </c>
    </row>
    <row r="615" spans="1:22" x14ac:dyDescent="0.25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5.7</v>
      </c>
      <c r="G615" t="s">
        <v>16</v>
      </c>
      <c r="H615" t="s">
        <v>17</v>
      </c>
      <c r="I615">
        <v>6.7</v>
      </c>
      <c r="J615">
        <v>6</v>
      </c>
      <c r="K615" t="s">
        <v>24</v>
      </c>
      <c r="L615">
        <v>3</v>
      </c>
      <c r="M615">
        <v>7</v>
      </c>
      <c r="N615" t="str">
        <f t="shared" si="72"/>
        <v>Instagram</v>
      </c>
      <c r="O615">
        <f t="shared" si="73"/>
        <v>1</v>
      </c>
      <c r="P615" t="str">
        <f t="shared" si="74"/>
        <v>6.7</v>
      </c>
      <c r="Q615" t="str">
        <f t="shared" si="75"/>
        <v>OK</v>
      </c>
      <c r="R615" t="b">
        <f t="shared" si="78"/>
        <v>1</v>
      </c>
      <c r="S615" t="str">
        <f t="shared" si="76"/>
        <v>High</v>
      </c>
      <c r="T615" t="str">
        <f t="shared" si="77"/>
        <v>7</v>
      </c>
      <c r="U615">
        <v>3.5</v>
      </c>
      <c r="V615" t="b">
        <f t="shared" si="79"/>
        <v>1</v>
      </c>
    </row>
    <row r="616" spans="1:22" x14ac:dyDescent="0.25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6.1</v>
      </c>
      <c r="G616" t="s">
        <v>26</v>
      </c>
      <c r="H616" t="s">
        <v>17</v>
      </c>
      <c r="I616">
        <v>6.4</v>
      </c>
      <c r="J616">
        <v>5</v>
      </c>
      <c r="K616" t="s">
        <v>24</v>
      </c>
      <c r="L616">
        <v>4</v>
      </c>
      <c r="M616">
        <v>8</v>
      </c>
      <c r="N616" t="str">
        <f t="shared" si="72"/>
        <v>Tiktok</v>
      </c>
      <c r="O616">
        <f t="shared" si="73"/>
        <v>2</v>
      </c>
      <c r="P616" t="str">
        <f t="shared" si="74"/>
        <v>6.4</v>
      </c>
      <c r="Q616" t="str">
        <f t="shared" si="75"/>
        <v>OK</v>
      </c>
      <c r="R616" t="b">
        <f t="shared" si="78"/>
        <v>1</v>
      </c>
      <c r="S616" t="str">
        <f t="shared" si="76"/>
        <v>High</v>
      </c>
      <c r="T616" t="str">
        <f t="shared" si="77"/>
        <v>8</v>
      </c>
      <c r="U616">
        <v>3.5</v>
      </c>
      <c r="V616" t="b">
        <f t="shared" si="79"/>
        <v>1</v>
      </c>
    </row>
    <row r="617" spans="1:22" x14ac:dyDescent="0.25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4.5999999999999996</v>
      </c>
      <c r="G617" t="s">
        <v>32</v>
      </c>
      <c r="H617" t="s">
        <v>23</v>
      </c>
      <c r="I617">
        <v>7.2</v>
      </c>
      <c r="J617">
        <v>7</v>
      </c>
      <c r="K617" t="s">
        <v>18</v>
      </c>
      <c r="L617">
        <v>2</v>
      </c>
      <c r="M617">
        <v>5</v>
      </c>
      <c r="N617" t="str">
        <f t="shared" si="72"/>
        <v>Facebook</v>
      </c>
      <c r="O617">
        <f t="shared" si="73"/>
        <v>0</v>
      </c>
      <c r="P617" t="str">
        <f t="shared" si="74"/>
        <v>7.2</v>
      </c>
      <c r="Q617" t="str">
        <f t="shared" si="75"/>
        <v>OK</v>
      </c>
      <c r="R617" t="str">
        <f t="shared" si="78"/>
        <v>medium</v>
      </c>
      <c r="S617" t="str">
        <f t="shared" si="76"/>
        <v>Medium</v>
      </c>
      <c r="T617" t="str">
        <f t="shared" si="77"/>
        <v>5</v>
      </c>
      <c r="U617">
        <v>3.5</v>
      </c>
      <c r="V617" t="b">
        <f t="shared" si="79"/>
        <v>1</v>
      </c>
    </row>
    <row r="618" spans="1:22" x14ac:dyDescent="0.25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6.8</v>
      </c>
      <c r="G618" t="s">
        <v>16</v>
      </c>
      <c r="H618" t="s">
        <v>17</v>
      </c>
      <c r="I618">
        <v>5.9</v>
      </c>
      <c r="J618">
        <v>4</v>
      </c>
      <c r="K618" t="s">
        <v>24</v>
      </c>
      <c r="L618">
        <v>5</v>
      </c>
      <c r="M618">
        <v>9</v>
      </c>
      <c r="N618" t="str">
        <f t="shared" si="72"/>
        <v>Instagram</v>
      </c>
      <c r="O618">
        <f t="shared" si="73"/>
        <v>1</v>
      </c>
      <c r="P618" t="str">
        <f t="shared" si="74"/>
        <v>5.9</v>
      </c>
      <c r="Q618" t="str">
        <f t="shared" si="75"/>
        <v>OK</v>
      </c>
      <c r="R618" t="b">
        <f t="shared" si="78"/>
        <v>1</v>
      </c>
      <c r="S618" t="str">
        <f t="shared" si="76"/>
        <v>High</v>
      </c>
      <c r="T618" t="str">
        <f t="shared" si="77"/>
        <v>9</v>
      </c>
      <c r="U618">
        <v>3.5</v>
      </c>
      <c r="V618" t="b">
        <f t="shared" si="79"/>
        <v>1</v>
      </c>
    </row>
    <row r="619" spans="1:22" x14ac:dyDescent="0.25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5.6</v>
      </c>
      <c r="G619" t="s">
        <v>144</v>
      </c>
      <c r="H619" t="s">
        <v>17</v>
      </c>
      <c r="I619">
        <v>6.8</v>
      </c>
      <c r="J619">
        <v>6</v>
      </c>
      <c r="K619" t="s">
        <v>18</v>
      </c>
      <c r="L619">
        <v>3</v>
      </c>
      <c r="M619">
        <v>7</v>
      </c>
      <c r="N619" t="str">
        <f t="shared" si="72"/>
        <v>Wechat</v>
      </c>
      <c r="O619">
        <f t="shared" si="73"/>
        <v>1</v>
      </c>
      <c r="P619" t="str">
        <f t="shared" si="74"/>
        <v>6.8</v>
      </c>
      <c r="Q619" t="str">
        <f t="shared" si="75"/>
        <v>OK</v>
      </c>
      <c r="R619" t="b">
        <f t="shared" si="78"/>
        <v>1</v>
      </c>
      <c r="S619" t="str">
        <f t="shared" si="76"/>
        <v>High</v>
      </c>
      <c r="T619" t="str">
        <f t="shared" si="77"/>
        <v>7</v>
      </c>
      <c r="U619">
        <v>3.5</v>
      </c>
      <c r="V619" t="b">
        <f t="shared" si="79"/>
        <v>1</v>
      </c>
    </row>
    <row r="620" spans="1:22" x14ac:dyDescent="0.25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4.2</v>
      </c>
      <c r="G620" t="s">
        <v>22</v>
      </c>
      <c r="H620" t="s">
        <v>23</v>
      </c>
      <c r="I620">
        <v>7.5</v>
      </c>
      <c r="J620">
        <v>8</v>
      </c>
      <c r="K620" t="s">
        <v>24</v>
      </c>
      <c r="L620">
        <v>2</v>
      </c>
      <c r="M620">
        <v>4</v>
      </c>
      <c r="N620" t="str">
        <f t="shared" si="72"/>
        <v>Twitter</v>
      </c>
      <c r="O620">
        <f t="shared" si="73"/>
        <v>3</v>
      </c>
      <c r="P620" t="str">
        <f t="shared" si="74"/>
        <v>7.5</v>
      </c>
      <c r="Q620" t="str">
        <f t="shared" si="75"/>
        <v>OK</v>
      </c>
      <c r="R620" t="str">
        <f t="shared" si="78"/>
        <v>medium</v>
      </c>
      <c r="S620" t="str">
        <f t="shared" si="76"/>
        <v>Low</v>
      </c>
      <c r="T620" t="str">
        <f t="shared" si="77"/>
        <v>4</v>
      </c>
      <c r="U620">
        <v>3.5</v>
      </c>
      <c r="V620" t="b">
        <f t="shared" si="79"/>
        <v>1</v>
      </c>
    </row>
    <row r="621" spans="1:22" x14ac:dyDescent="0.25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 t="s">
        <v>26</v>
      </c>
      <c r="H621" t="s">
        <v>17</v>
      </c>
      <c r="I621">
        <v>6.3</v>
      </c>
      <c r="J621">
        <v>5</v>
      </c>
      <c r="K621" t="s">
        <v>24</v>
      </c>
      <c r="L621">
        <v>4</v>
      </c>
      <c r="M621">
        <v>8</v>
      </c>
      <c r="N621" t="str">
        <f t="shared" si="72"/>
        <v>Tiktok</v>
      </c>
      <c r="O621">
        <f t="shared" si="73"/>
        <v>2</v>
      </c>
      <c r="P621" t="str">
        <f t="shared" si="74"/>
        <v>6.3</v>
      </c>
      <c r="Q621" t="str">
        <f t="shared" si="75"/>
        <v>OK</v>
      </c>
      <c r="R621" t="b">
        <f t="shared" si="78"/>
        <v>1</v>
      </c>
      <c r="S621" t="str">
        <f t="shared" si="76"/>
        <v>High</v>
      </c>
      <c r="T621" t="str">
        <f t="shared" si="77"/>
        <v>8</v>
      </c>
      <c r="U621">
        <v>3.5</v>
      </c>
      <c r="V621" t="b">
        <f t="shared" si="79"/>
        <v>1</v>
      </c>
    </row>
    <row r="622" spans="1:22" x14ac:dyDescent="0.25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4.4000000000000004</v>
      </c>
      <c r="G622" t="s">
        <v>16</v>
      </c>
      <c r="H622" t="s">
        <v>23</v>
      </c>
      <c r="I622">
        <v>7.4</v>
      </c>
      <c r="J622">
        <v>7</v>
      </c>
      <c r="K622" t="s">
        <v>18</v>
      </c>
      <c r="L622">
        <v>2</v>
      </c>
      <c r="M622">
        <v>5</v>
      </c>
      <c r="N622" t="str">
        <f t="shared" si="72"/>
        <v>Instagram</v>
      </c>
      <c r="O622">
        <f t="shared" si="73"/>
        <v>1</v>
      </c>
      <c r="P622" t="str">
        <f t="shared" si="74"/>
        <v>7.4</v>
      </c>
      <c r="Q622" t="str">
        <f t="shared" si="75"/>
        <v>OK</v>
      </c>
      <c r="R622" t="str">
        <f t="shared" si="78"/>
        <v>medium</v>
      </c>
      <c r="S622" t="str">
        <f t="shared" si="76"/>
        <v>Medium</v>
      </c>
      <c r="T622" t="str">
        <f t="shared" si="77"/>
        <v>5</v>
      </c>
      <c r="U622">
        <v>3.5</v>
      </c>
      <c r="V622" t="b">
        <f t="shared" si="79"/>
        <v>1</v>
      </c>
    </row>
    <row r="623" spans="1:22" x14ac:dyDescent="0.25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6.5</v>
      </c>
      <c r="G623" t="s">
        <v>32</v>
      </c>
      <c r="H623" t="s">
        <v>17</v>
      </c>
      <c r="I623">
        <v>6.2</v>
      </c>
      <c r="J623">
        <v>5</v>
      </c>
      <c r="K623" t="s">
        <v>24</v>
      </c>
      <c r="L623">
        <v>4</v>
      </c>
      <c r="M623">
        <v>8</v>
      </c>
      <c r="N623" t="str">
        <f t="shared" si="72"/>
        <v>Facebook</v>
      </c>
      <c r="O623">
        <f t="shared" si="73"/>
        <v>0</v>
      </c>
      <c r="P623" t="str">
        <f t="shared" si="74"/>
        <v>6.2</v>
      </c>
      <c r="Q623" t="str">
        <f t="shared" si="75"/>
        <v>OK</v>
      </c>
      <c r="R623" t="b">
        <f t="shared" si="78"/>
        <v>1</v>
      </c>
      <c r="S623" t="str">
        <f t="shared" si="76"/>
        <v>High</v>
      </c>
      <c r="T623" t="str">
        <f t="shared" si="77"/>
        <v>8</v>
      </c>
      <c r="U623">
        <v>3.5</v>
      </c>
      <c r="V623" t="b">
        <f t="shared" si="79"/>
        <v>1</v>
      </c>
    </row>
    <row r="624" spans="1:22" x14ac:dyDescent="0.25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4.5999999999999996</v>
      </c>
      <c r="G624" t="s">
        <v>22</v>
      </c>
      <c r="H624" t="s">
        <v>23</v>
      </c>
      <c r="I624">
        <v>7.3</v>
      </c>
      <c r="J624">
        <v>7</v>
      </c>
      <c r="K624" t="s">
        <v>18</v>
      </c>
      <c r="L624">
        <v>2</v>
      </c>
      <c r="M624">
        <v>5</v>
      </c>
      <c r="N624" t="str">
        <f t="shared" si="72"/>
        <v>Twitter</v>
      </c>
      <c r="O624">
        <f t="shared" si="73"/>
        <v>3</v>
      </c>
      <c r="P624" t="str">
        <f t="shared" si="74"/>
        <v>7.3</v>
      </c>
      <c r="Q624" t="str">
        <f t="shared" si="75"/>
        <v>OK</v>
      </c>
      <c r="R624" t="str">
        <f t="shared" si="78"/>
        <v>medium</v>
      </c>
      <c r="S624" t="str">
        <f t="shared" si="76"/>
        <v>Medium</v>
      </c>
      <c r="T624" t="str">
        <f t="shared" si="77"/>
        <v>5</v>
      </c>
      <c r="U624">
        <v>3.5</v>
      </c>
      <c r="V624" t="b">
        <f t="shared" si="79"/>
        <v>1</v>
      </c>
    </row>
    <row r="625" spans="1:22" x14ac:dyDescent="0.25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5.8</v>
      </c>
      <c r="G625" t="s">
        <v>16</v>
      </c>
      <c r="H625" t="s">
        <v>17</v>
      </c>
      <c r="I625">
        <v>6.6</v>
      </c>
      <c r="J625">
        <v>6</v>
      </c>
      <c r="K625" t="s">
        <v>24</v>
      </c>
      <c r="L625">
        <v>3</v>
      </c>
      <c r="M625">
        <v>7</v>
      </c>
      <c r="N625" t="str">
        <f t="shared" si="72"/>
        <v>Instagram</v>
      </c>
      <c r="O625">
        <f t="shared" si="73"/>
        <v>1</v>
      </c>
      <c r="P625" t="str">
        <f t="shared" si="74"/>
        <v>6.6</v>
      </c>
      <c r="Q625" t="str">
        <f t="shared" si="75"/>
        <v>OK</v>
      </c>
      <c r="R625" t="b">
        <f t="shared" si="78"/>
        <v>1</v>
      </c>
      <c r="S625" t="str">
        <f t="shared" si="76"/>
        <v>High</v>
      </c>
      <c r="T625" t="str">
        <f t="shared" si="77"/>
        <v>7</v>
      </c>
      <c r="U625">
        <v>3.4</v>
      </c>
      <c r="V625" t="b">
        <f t="shared" si="79"/>
        <v>1</v>
      </c>
    </row>
    <row r="626" spans="1:22" x14ac:dyDescent="0.25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7</v>
      </c>
      <c r="G626" t="s">
        <v>26</v>
      </c>
      <c r="H626" t="s">
        <v>17</v>
      </c>
      <c r="I626">
        <v>5.8</v>
      </c>
      <c r="J626">
        <v>4</v>
      </c>
      <c r="K626" t="s">
        <v>24</v>
      </c>
      <c r="L626">
        <v>5</v>
      </c>
      <c r="M626">
        <v>9</v>
      </c>
      <c r="N626" t="str">
        <f t="shared" si="72"/>
        <v>Tiktok</v>
      </c>
      <c r="O626">
        <f t="shared" si="73"/>
        <v>2</v>
      </c>
      <c r="P626" t="str">
        <f t="shared" si="74"/>
        <v>5.8</v>
      </c>
      <c r="Q626" t="str">
        <f t="shared" si="75"/>
        <v>OK</v>
      </c>
      <c r="R626" t="b">
        <f t="shared" si="78"/>
        <v>1</v>
      </c>
      <c r="S626" t="str">
        <f t="shared" si="76"/>
        <v>High</v>
      </c>
      <c r="T626" t="str">
        <f t="shared" si="77"/>
        <v>9</v>
      </c>
      <c r="U626">
        <v>3.4</v>
      </c>
      <c r="V626" t="b">
        <f t="shared" si="79"/>
        <v>1</v>
      </c>
    </row>
    <row r="627" spans="1:22" x14ac:dyDescent="0.25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4.5</v>
      </c>
      <c r="G627" t="s">
        <v>32</v>
      </c>
      <c r="H627" t="s">
        <v>23</v>
      </c>
      <c r="I627">
        <v>7.3</v>
      </c>
      <c r="J627">
        <v>7</v>
      </c>
      <c r="K627" t="s">
        <v>18</v>
      </c>
      <c r="L627">
        <v>2</v>
      </c>
      <c r="M627">
        <v>5</v>
      </c>
      <c r="N627" t="str">
        <f t="shared" si="72"/>
        <v>Facebook</v>
      </c>
      <c r="O627">
        <f t="shared" si="73"/>
        <v>0</v>
      </c>
      <c r="P627" t="str">
        <f t="shared" si="74"/>
        <v>7.3</v>
      </c>
      <c r="Q627" t="str">
        <f t="shared" si="75"/>
        <v>OK</v>
      </c>
      <c r="R627" t="str">
        <f t="shared" si="78"/>
        <v>medium</v>
      </c>
      <c r="S627" t="str">
        <f t="shared" si="76"/>
        <v>Medium</v>
      </c>
      <c r="T627" t="str">
        <f t="shared" si="77"/>
        <v>5</v>
      </c>
      <c r="U627">
        <v>3.4</v>
      </c>
      <c r="V627" t="b">
        <f t="shared" si="79"/>
        <v>1</v>
      </c>
    </row>
    <row r="628" spans="1:22" x14ac:dyDescent="0.25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6.7</v>
      </c>
      <c r="G628" t="s">
        <v>16</v>
      </c>
      <c r="H628" t="s">
        <v>17</v>
      </c>
      <c r="I628">
        <v>6.1</v>
      </c>
      <c r="J628">
        <v>5</v>
      </c>
      <c r="K628" t="s">
        <v>24</v>
      </c>
      <c r="L628">
        <v>4</v>
      </c>
      <c r="M628">
        <v>8</v>
      </c>
      <c r="N628" t="str">
        <f t="shared" si="72"/>
        <v>Instagram</v>
      </c>
      <c r="O628">
        <f t="shared" si="73"/>
        <v>1</v>
      </c>
      <c r="P628" t="str">
        <f t="shared" si="74"/>
        <v>6.1</v>
      </c>
      <c r="Q628" t="str">
        <f t="shared" si="75"/>
        <v>OK</v>
      </c>
      <c r="R628" t="b">
        <f t="shared" si="78"/>
        <v>1</v>
      </c>
      <c r="S628" t="str">
        <f t="shared" si="76"/>
        <v>High</v>
      </c>
      <c r="T628" t="str">
        <f t="shared" si="77"/>
        <v>8</v>
      </c>
      <c r="U628">
        <v>3.4</v>
      </c>
      <c r="V628" t="b">
        <f t="shared" si="79"/>
        <v>1</v>
      </c>
    </row>
    <row r="629" spans="1:22" x14ac:dyDescent="0.25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5.5</v>
      </c>
      <c r="G629" t="s">
        <v>22</v>
      </c>
      <c r="H629" t="s">
        <v>17</v>
      </c>
      <c r="I629">
        <v>6.8</v>
      </c>
      <c r="J629">
        <v>6</v>
      </c>
      <c r="K629" t="s">
        <v>18</v>
      </c>
      <c r="L629">
        <v>3</v>
      </c>
      <c r="M629">
        <v>7</v>
      </c>
      <c r="N629" t="str">
        <f t="shared" si="72"/>
        <v>Twitter</v>
      </c>
      <c r="O629">
        <f t="shared" si="73"/>
        <v>3</v>
      </c>
      <c r="P629" t="str">
        <f t="shared" si="74"/>
        <v>6.8</v>
      </c>
      <c r="Q629" t="str">
        <f t="shared" si="75"/>
        <v>OK</v>
      </c>
      <c r="R629" t="b">
        <f t="shared" si="78"/>
        <v>1</v>
      </c>
      <c r="S629" t="str">
        <f t="shared" si="76"/>
        <v>High</v>
      </c>
      <c r="T629" t="str">
        <f t="shared" si="77"/>
        <v>7</v>
      </c>
      <c r="U629">
        <v>3.4</v>
      </c>
      <c r="V629" t="b">
        <f t="shared" si="79"/>
        <v>1</v>
      </c>
    </row>
    <row r="630" spans="1:22" x14ac:dyDescent="0.25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6.4</v>
      </c>
      <c r="G630" t="s">
        <v>32</v>
      </c>
      <c r="H630" t="s">
        <v>17</v>
      </c>
      <c r="I630">
        <v>6.2</v>
      </c>
      <c r="J630">
        <v>5</v>
      </c>
      <c r="K630" t="s">
        <v>24</v>
      </c>
      <c r="L630">
        <v>4</v>
      </c>
      <c r="M630">
        <v>8</v>
      </c>
      <c r="N630" t="str">
        <f t="shared" si="72"/>
        <v>Facebook</v>
      </c>
      <c r="O630">
        <f t="shared" si="73"/>
        <v>0</v>
      </c>
      <c r="P630" t="str">
        <f t="shared" si="74"/>
        <v>6.2</v>
      </c>
      <c r="Q630" t="str">
        <f t="shared" si="75"/>
        <v>OK</v>
      </c>
      <c r="R630" t="b">
        <f t="shared" si="78"/>
        <v>1</v>
      </c>
      <c r="S630" t="str">
        <f t="shared" si="76"/>
        <v>High</v>
      </c>
      <c r="T630" t="str">
        <f t="shared" si="77"/>
        <v>8</v>
      </c>
      <c r="U630">
        <v>3.4</v>
      </c>
      <c r="V630" t="b">
        <f t="shared" si="79"/>
        <v>1</v>
      </c>
    </row>
    <row r="631" spans="1:22" x14ac:dyDescent="0.25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4.7</v>
      </c>
      <c r="G631" t="s">
        <v>16</v>
      </c>
      <c r="H631" t="s">
        <v>23</v>
      </c>
      <c r="I631">
        <v>7.2</v>
      </c>
      <c r="J631">
        <v>7</v>
      </c>
      <c r="K631" t="s">
        <v>18</v>
      </c>
      <c r="L631">
        <v>2</v>
      </c>
      <c r="M631">
        <v>5</v>
      </c>
      <c r="N631" t="str">
        <f t="shared" si="72"/>
        <v>Instagram</v>
      </c>
      <c r="O631">
        <f t="shared" si="73"/>
        <v>1</v>
      </c>
      <c r="P631" t="str">
        <f t="shared" si="74"/>
        <v>7.2</v>
      </c>
      <c r="Q631" t="str">
        <f t="shared" si="75"/>
        <v>OK</v>
      </c>
      <c r="R631" t="str">
        <f t="shared" si="78"/>
        <v>medium</v>
      </c>
      <c r="S631" t="str">
        <f t="shared" si="76"/>
        <v>Medium</v>
      </c>
      <c r="T631" t="str">
        <f t="shared" si="77"/>
        <v>5</v>
      </c>
      <c r="U631">
        <v>3.4</v>
      </c>
      <c r="V631" t="b">
        <f t="shared" si="79"/>
        <v>1</v>
      </c>
    </row>
    <row r="632" spans="1:22" x14ac:dyDescent="0.25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5.6</v>
      </c>
      <c r="G632" t="s">
        <v>26</v>
      </c>
      <c r="H632" t="s">
        <v>17</v>
      </c>
      <c r="I632">
        <v>6.7</v>
      </c>
      <c r="J632">
        <v>6</v>
      </c>
      <c r="K632" t="s">
        <v>24</v>
      </c>
      <c r="L632">
        <v>3</v>
      </c>
      <c r="M632">
        <v>7</v>
      </c>
      <c r="N632" t="str">
        <f t="shared" si="72"/>
        <v>Tiktok</v>
      </c>
      <c r="O632">
        <f t="shared" si="73"/>
        <v>2</v>
      </c>
      <c r="P632" t="str">
        <f t="shared" si="74"/>
        <v>6.7</v>
      </c>
      <c r="Q632" t="str">
        <f t="shared" si="75"/>
        <v>OK</v>
      </c>
      <c r="R632" t="b">
        <f t="shared" si="78"/>
        <v>1</v>
      </c>
      <c r="S632" t="str">
        <f t="shared" si="76"/>
        <v>High</v>
      </c>
      <c r="T632" t="str">
        <f t="shared" si="77"/>
        <v>7</v>
      </c>
      <c r="U632">
        <v>3.4</v>
      </c>
      <c r="V632" t="b">
        <f t="shared" si="79"/>
        <v>1</v>
      </c>
    </row>
    <row r="633" spans="1:22" x14ac:dyDescent="0.25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6.2</v>
      </c>
      <c r="G633" t="s">
        <v>32</v>
      </c>
      <c r="H633" t="s">
        <v>17</v>
      </c>
      <c r="I633">
        <v>6.3</v>
      </c>
      <c r="J633">
        <v>5</v>
      </c>
      <c r="K633" t="s">
        <v>24</v>
      </c>
      <c r="L633">
        <v>4</v>
      </c>
      <c r="M633">
        <v>8</v>
      </c>
      <c r="N633" t="str">
        <f t="shared" si="72"/>
        <v>Facebook</v>
      </c>
      <c r="O633">
        <f t="shared" si="73"/>
        <v>0</v>
      </c>
      <c r="P633" t="str">
        <f t="shared" si="74"/>
        <v>6.3</v>
      </c>
      <c r="Q633" t="str">
        <f t="shared" si="75"/>
        <v>OK</v>
      </c>
      <c r="R633" t="b">
        <f t="shared" si="78"/>
        <v>1</v>
      </c>
      <c r="S633" t="str">
        <f t="shared" si="76"/>
        <v>High</v>
      </c>
      <c r="T633" t="str">
        <f t="shared" si="77"/>
        <v>8</v>
      </c>
      <c r="U633">
        <v>3.3</v>
      </c>
      <c r="V633" t="b">
        <f t="shared" si="79"/>
        <v>1</v>
      </c>
    </row>
    <row r="634" spans="1:22" x14ac:dyDescent="0.25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4.8</v>
      </c>
      <c r="G634" t="s">
        <v>22</v>
      </c>
      <c r="H634" t="s">
        <v>23</v>
      </c>
      <c r="I634">
        <v>7.1</v>
      </c>
      <c r="J634">
        <v>7</v>
      </c>
      <c r="K634" t="s">
        <v>18</v>
      </c>
      <c r="L634">
        <v>2</v>
      </c>
      <c r="M634">
        <v>5</v>
      </c>
      <c r="N634" t="str">
        <f t="shared" si="72"/>
        <v>Twitter</v>
      </c>
      <c r="O634">
        <f t="shared" si="73"/>
        <v>3</v>
      </c>
      <c r="P634" t="str">
        <f t="shared" si="74"/>
        <v>7.1</v>
      </c>
      <c r="Q634" t="str">
        <f t="shared" si="75"/>
        <v>OK</v>
      </c>
      <c r="R634" t="str">
        <f t="shared" si="78"/>
        <v>medium</v>
      </c>
      <c r="S634" t="str">
        <f t="shared" si="76"/>
        <v>Medium</v>
      </c>
      <c r="T634" t="str">
        <f t="shared" si="77"/>
        <v>5</v>
      </c>
      <c r="U634">
        <v>3.3</v>
      </c>
      <c r="V634" t="b">
        <f t="shared" si="79"/>
        <v>1</v>
      </c>
    </row>
    <row r="635" spans="1:22" x14ac:dyDescent="0.25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6.9</v>
      </c>
      <c r="G635" t="s">
        <v>16</v>
      </c>
      <c r="H635" t="s">
        <v>17</v>
      </c>
      <c r="I635">
        <v>5.9</v>
      </c>
      <c r="J635">
        <v>4</v>
      </c>
      <c r="K635" t="s">
        <v>24</v>
      </c>
      <c r="L635">
        <v>5</v>
      </c>
      <c r="M635">
        <v>9</v>
      </c>
      <c r="N635" t="str">
        <f t="shared" si="72"/>
        <v>Instagram</v>
      </c>
      <c r="O635">
        <f t="shared" si="73"/>
        <v>1</v>
      </c>
      <c r="P635" t="str">
        <f t="shared" si="74"/>
        <v>5.9</v>
      </c>
      <c r="Q635" t="str">
        <f t="shared" si="75"/>
        <v>OK</v>
      </c>
      <c r="R635" t="b">
        <f t="shared" si="78"/>
        <v>1</v>
      </c>
      <c r="S635" t="str">
        <f t="shared" si="76"/>
        <v>High</v>
      </c>
      <c r="T635" t="str">
        <f t="shared" si="77"/>
        <v>9</v>
      </c>
      <c r="U635">
        <v>3.3</v>
      </c>
      <c r="V635" t="b">
        <f t="shared" si="79"/>
        <v>1</v>
      </c>
    </row>
    <row r="636" spans="1:22" x14ac:dyDescent="0.25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5.7</v>
      </c>
      <c r="G636" t="s">
        <v>144</v>
      </c>
      <c r="H636" t="s">
        <v>17</v>
      </c>
      <c r="I636">
        <v>6.7</v>
      </c>
      <c r="J636">
        <v>6</v>
      </c>
      <c r="K636" t="s">
        <v>18</v>
      </c>
      <c r="L636">
        <v>3</v>
      </c>
      <c r="M636">
        <v>7</v>
      </c>
      <c r="N636" t="str">
        <f t="shared" si="72"/>
        <v>Wechat</v>
      </c>
      <c r="O636">
        <f t="shared" si="73"/>
        <v>1</v>
      </c>
      <c r="P636" t="str">
        <f t="shared" si="74"/>
        <v>6.7</v>
      </c>
      <c r="Q636" t="str">
        <f t="shared" si="75"/>
        <v>OK</v>
      </c>
      <c r="R636" t="b">
        <f t="shared" si="78"/>
        <v>1</v>
      </c>
      <c r="S636" t="str">
        <f t="shared" si="76"/>
        <v>High</v>
      </c>
      <c r="T636" t="str">
        <f t="shared" si="77"/>
        <v>7</v>
      </c>
      <c r="U636">
        <v>3.3</v>
      </c>
      <c r="V636" t="b">
        <f t="shared" si="79"/>
        <v>1</v>
      </c>
    </row>
    <row r="637" spans="1:22" x14ac:dyDescent="0.25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4.4000000000000004</v>
      </c>
      <c r="G637" t="s">
        <v>22</v>
      </c>
      <c r="H637" t="s">
        <v>23</v>
      </c>
      <c r="I637">
        <v>7.4</v>
      </c>
      <c r="J637">
        <v>8</v>
      </c>
      <c r="K637" t="s">
        <v>24</v>
      </c>
      <c r="L637">
        <v>2</v>
      </c>
      <c r="M637">
        <v>4</v>
      </c>
      <c r="N637" t="str">
        <f t="shared" si="72"/>
        <v>Twitter</v>
      </c>
      <c r="O637">
        <f t="shared" si="73"/>
        <v>3</v>
      </c>
      <c r="P637" t="str">
        <f t="shared" si="74"/>
        <v>7.4</v>
      </c>
      <c r="Q637" t="str">
        <f t="shared" si="75"/>
        <v>OK</v>
      </c>
      <c r="R637" t="str">
        <f t="shared" si="78"/>
        <v>medium</v>
      </c>
      <c r="S637" t="str">
        <f t="shared" si="76"/>
        <v>Low</v>
      </c>
      <c r="T637" t="str">
        <f t="shared" si="77"/>
        <v>4</v>
      </c>
      <c r="U637">
        <v>3.3</v>
      </c>
      <c r="V637" t="b">
        <f t="shared" si="79"/>
        <v>1</v>
      </c>
    </row>
    <row r="638" spans="1:22" x14ac:dyDescent="0.25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6.1</v>
      </c>
      <c r="G638" t="s">
        <v>26</v>
      </c>
      <c r="H638" t="s">
        <v>17</v>
      </c>
      <c r="I638">
        <v>6.4</v>
      </c>
      <c r="J638">
        <v>5</v>
      </c>
      <c r="K638" t="s">
        <v>24</v>
      </c>
      <c r="L638">
        <v>4</v>
      </c>
      <c r="M638">
        <v>8</v>
      </c>
      <c r="N638" t="str">
        <f t="shared" si="72"/>
        <v>Tiktok</v>
      </c>
      <c r="O638">
        <f t="shared" si="73"/>
        <v>2</v>
      </c>
      <c r="P638" t="str">
        <f t="shared" si="74"/>
        <v>6.4</v>
      </c>
      <c r="Q638" t="str">
        <f t="shared" si="75"/>
        <v>OK</v>
      </c>
      <c r="R638" t="b">
        <f t="shared" si="78"/>
        <v>1</v>
      </c>
      <c r="S638" t="str">
        <f t="shared" si="76"/>
        <v>High</v>
      </c>
      <c r="T638" t="str">
        <f t="shared" si="77"/>
        <v>8</v>
      </c>
      <c r="U638">
        <v>3.3</v>
      </c>
      <c r="V638" t="b">
        <f t="shared" si="79"/>
        <v>1</v>
      </c>
    </row>
    <row r="639" spans="1:22" x14ac:dyDescent="0.25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4.3</v>
      </c>
      <c r="G639" t="s">
        <v>16</v>
      </c>
      <c r="H639" t="s">
        <v>23</v>
      </c>
      <c r="I639">
        <v>7.5</v>
      </c>
      <c r="J639">
        <v>7</v>
      </c>
      <c r="K639" t="s">
        <v>18</v>
      </c>
      <c r="L639">
        <v>2</v>
      </c>
      <c r="M639">
        <v>5</v>
      </c>
      <c r="N639" t="str">
        <f t="shared" si="72"/>
        <v>Instagram</v>
      </c>
      <c r="O639">
        <f t="shared" si="73"/>
        <v>1</v>
      </c>
      <c r="P639" t="str">
        <f t="shared" si="74"/>
        <v>7.5</v>
      </c>
      <c r="Q639" t="str">
        <f t="shared" si="75"/>
        <v>OK</v>
      </c>
      <c r="R639" t="str">
        <f t="shared" si="78"/>
        <v>medium</v>
      </c>
      <c r="S639" t="str">
        <f t="shared" si="76"/>
        <v>Medium</v>
      </c>
      <c r="T639" t="str">
        <f t="shared" si="77"/>
        <v>5</v>
      </c>
      <c r="U639">
        <v>3.3</v>
      </c>
      <c r="V639" t="b">
        <f t="shared" si="79"/>
        <v>1</v>
      </c>
    </row>
    <row r="640" spans="1:22" x14ac:dyDescent="0.25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6.4</v>
      </c>
      <c r="G640" t="s">
        <v>32</v>
      </c>
      <c r="H640" t="s">
        <v>17</v>
      </c>
      <c r="I640">
        <v>6.2</v>
      </c>
      <c r="J640">
        <v>5</v>
      </c>
      <c r="K640" t="s">
        <v>24</v>
      </c>
      <c r="L640">
        <v>4</v>
      </c>
      <c r="M640">
        <v>8</v>
      </c>
      <c r="N640" t="str">
        <f t="shared" si="72"/>
        <v>Facebook</v>
      </c>
      <c r="O640">
        <f t="shared" si="73"/>
        <v>0</v>
      </c>
      <c r="P640" t="str">
        <f t="shared" si="74"/>
        <v>6.2</v>
      </c>
      <c r="Q640" t="str">
        <f t="shared" si="75"/>
        <v>OK</v>
      </c>
      <c r="R640" t="b">
        <f t="shared" si="78"/>
        <v>1</v>
      </c>
      <c r="S640" t="str">
        <f t="shared" si="76"/>
        <v>High</v>
      </c>
      <c r="T640" t="str">
        <f t="shared" si="77"/>
        <v>8</v>
      </c>
      <c r="U640">
        <v>3.3</v>
      </c>
      <c r="V640" t="b">
        <f t="shared" si="79"/>
        <v>1</v>
      </c>
    </row>
    <row r="641" spans="1:22" x14ac:dyDescent="0.25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4.5</v>
      </c>
      <c r="G641" t="s">
        <v>22</v>
      </c>
      <c r="H641" t="s">
        <v>23</v>
      </c>
      <c r="I641">
        <v>7.3</v>
      </c>
      <c r="J641">
        <v>7</v>
      </c>
      <c r="K641" t="s">
        <v>18</v>
      </c>
      <c r="L641">
        <v>2</v>
      </c>
      <c r="M641">
        <v>5</v>
      </c>
      <c r="N641" t="str">
        <f t="shared" si="72"/>
        <v>Twitter</v>
      </c>
      <c r="O641">
        <f t="shared" si="73"/>
        <v>3</v>
      </c>
      <c r="P641" t="str">
        <f t="shared" si="74"/>
        <v>7.3</v>
      </c>
      <c r="Q641" t="str">
        <f t="shared" si="75"/>
        <v>OK</v>
      </c>
      <c r="R641" t="str">
        <f t="shared" si="78"/>
        <v>medium</v>
      </c>
      <c r="S641" t="str">
        <f t="shared" si="76"/>
        <v>Medium</v>
      </c>
      <c r="T641" t="str">
        <f t="shared" si="77"/>
        <v>5</v>
      </c>
      <c r="U641">
        <v>3.3</v>
      </c>
      <c r="V641" t="b">
        <f t="shared" si="79"/>
        <v>1</v>
      </c>
    </row>
    <row r="642" spans="1:22" x14ac:dyDescent="0.25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5.9</v>
      </c>
      <c r="G642" t="s">
        <v>16</v>
      </c>
      <c r="H642" t="s">
        <v>17</v>
      </c>
      <c r="I642">
        <v>6.5</v>
      </c>
      <c r="J642">
        <v>6</v>
      </c>
      <c r="K642" t="s">
        <v>24</v>
      </c>
      <c r="L642">
        <v>3</v>
      </c>
      <c r="M642">
        <v>7</v>
      </c>
      <c r="N642" t="str">
        <f t="shared" ref="N642:N706" si="80">PROPER(G642)</f>
        <v>Instagram</v>
      </c>
      <c r="O642">
        <f t="shared" ref="O642:O706" si="81">LEN(G642)-LEN(SUBSTITUTE(UPPER(G642),"T",""))</f>
        <v>1</v>
      </c>
      <c r="P642" t="str">
        <f t="shared" ref="P642:P706" si="82">PROPER(I642)</f>
        <v>6.5</v>
      </c>
      <c r="Q642" t="str">
        <f t="shared" ref="Q642:Q706" si="83">(IF(I642&gt;=5,"OK",IF(I642&lt;5,"LESS SLEEP")))</f>
        <v>OK</v>
      </c>
      <c r="R642" t="b">
        <f t="shared" si="78"/>
        <v>1</v>
      </c>
      <c r="S642" t="str">
        <f t="shared" ref="S642:S706" si="84">IF(M642&gt;=7,"High",IF(AND(M642&gt;4,M642&lt;7),"Medium","Low"))</f>
        <v>High</v>
      </c>
      <c r="T642" t="str">
        <f t="shared" ref="T642:T706" si="85">PROPER(M642)</f>
        <v>7</v>
      </c>
      <c r="U642">
        <v>3.2</v>
      </c>
      <c r="V642" t="b">
        <f t="shared" si="79"/>
        <v>1</v>
      </c>
    </row>
    <row r="643" spans="1:22" x14ac:dyDescent="0.25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7.2</v>
      </c>
      <c r="G643" t="s">
        <v>26</v>
      </c>
      <c r="H643" t="s">
        <v>17</v>
      </c>
      <c r="I643">
        <v>5.7</v>
      </c>
      <c r="J643">
        <v>4</v>
      </c>
      <c r="K643" t="s">
        <v>24</v>
      </c>
      <c r="L643">
        <v>5</v>
      </c>
      <c r="M643">
        <v>9</v>
      </c>
      <c r="N643" t="str">
        <f t="shared" si="80"/>
        <v>Tiktok</v>
      </c>
      <c r="O643">
        <f t="shared" si="81"/>
        <v>2</v>
      </c>
      <c r="P643" t="str">
        <f t="shared" si="82"/>
        <v>5.7</v>
      </c>
      <c r="Q643" t="str">
        <f t="shared" si="83"/>
        <v>OK</v>
      </c>
      <c r="R643" t="b">
        <f t="shared" si="78"/>
        <v>1</v>
      </c>
      <c r="S643" t="str">
        <f t="shared" si="84"/>
        <v>High</v>
      </c>
      <c r="T643" t="str">
        <f t="shared" si="85"/>
        <v>9</v>
      </c>
      <c r="U643">
        <v>3.2</v>
      </c>
      <c r="V643" t="b">
        <f t="shared" si="79"/>
        <v>1</v>
      </c>
    </row>
    <row r="644" spans="1:22" x14ac:dyDescent="0.25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4.5999999999999996</v>
      </c>
      <c r="G644" t="s">
        <v>32</v>
      </c>
      <c r="H644" t="s">
        <v>23</v>
      </c>
      <c r="I644">
        <v>7.2</v>
      </c>
      <c r="J644">
        <v>7</v>
      </c>
      <c r="K644" t="s">
        <v>18</v>
      </c>
      <c r="L644">
        <v>2</v>
      </c>
      <c r="M644">
        <v>5</v>
      </c>
      <c r="N644" t="str">
        <f t="shared" si="80"/>
        <v>Facebook</v>
      </c>
      <c r="O644">
        <f t="shared" si="81"/>
        <v>0</v>
      </c>
      <c r="P644" t="str">
        <f t="shared" si="82"/>
        <v>7.2</v>
      </c>
      <c r="Q644" t="str">
        <f t="shared" si="83"/>
        <v>OK</v>
      </c>
      <c r="R644" t="str">
        <f t="shared" ref="R644:R706" si="86">IF(M644&gt;=7,"High"&amp;M644&gt;=4,"medium")</f>
        <v>medium</v>
      </c>
      <c r="S644" t="str">
        <f t="shared" si="84"/>
        <v>Medium</v>
      </c>
      <c r="T644" t="str">
        <f t="shared" si="85"/>
        <v>5</v>
      </c>
      <c r="U644">
        <v>3.2</v>
      </c>
      <c r="V644" t="b">
        <f t="shared" ref="V644:V706" si="87">IF(Q644&gt;=7,"High"&amp;Q644&gt;=4,"medium")</f>
        <v>1</v>
      </c>
    </row>
    <row r="645" spans="1:22" x14ac:dyDescent="0.25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6.8</v>
      </c>
      <c r="G645" t="s">
        <v>16</v>
      </c>
      <c r="H645" t="s">
        <v>17</v>
      </c>
      <c r="I645">
        <v>6</v>
      </c>
      <c r="J645">
        <v>5</v>
      </c>
      <c r="K645" t="s">
        <v>24</v>
      </c>
      <c r="L645">
        <v>4</v>
      </c>
      <c r="M645">
        <v>8</v>
      </c>
      <c r="N645" t="str">
        <f t="shared" si="80"/>
        <v>Instagram</v>
      </c>
      <c r="O645">
        <f t="shared" si="81"/>
        <v>1</v>
      </c>
      <c r="P645" t="str">
        <f t="shared" si="82"/>
        <v>6</v>
      </c>
      <c r="Q645" t="str">
        <f t="shared" si="83"/>
        <v>OK</v>
      </c>
      <c r="R645" t="b">
        <f t="shared" si="86"/>
        <v>1</v>
      </c>
      <c r="S645" t="str">
        <f t="shared" si="84"/>
        <v>High</v>
      </c>
      <c r="T645" t="str">
        <f t="shared" si="85"/>
        <v>8</v>
      </c>
      <c r="U645">
        <v>3.2</v>
      </c>
      <c r="V645" t="b">
        <f t="shared" si="87"/>
        <v>1</v>
      </c>
    </row>
    <row r="646" spans="1:22" x14ac:dyDescent="0.25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5.3</v>
      </c>
      <c r="G646" t="s">
        <v>22</v>
      </c>
      <c r="H646" t="s">
        <v>17</v>
      </c>
      <c r="I646">
        <v>6.8</v>
      </c>
      <c r="J646">
        <v>6</v>
      </c>
      <c r="K646" t="s">
        <v>18</v>
      </c>
      <c r="L646">
        <v>3</v>
      </c>
      <c r="M646">
        <v>7</v>
      </c>
      <c r="N646" t="str">
        <f t="shared" si="80"/>
        <v>Twitter</v>
      </c>
      <c r="O646">
        <f t="shared" si="81"/>
        <v>3</v>
      </c>
      <c r="P646" t="str">
        <f t="shared" si="82"/>
        <v>6.8</v>
      </c>
      <c r="Q646" t="str">
        <f t="shared" si="83"/>
        <v>OK</v>
      </c>
      <c r="R646" t="b">
        <f t="shared" si="86"/>
        <v>1</v>
      </c>
      <c r="S646" t="str">
        <f t="shared" si="84"/>
        <v>High</v>
      </c>
      <c r="T646" t="str">
        <f t="shared" si="85"/>
        <v>7</v>
      </c>
      <c r="U646">
        <v>3.2</v>
      </c>
      <c r="V646" t="b">
        <f t="shared" si="87"/>
        <v>1</v>
      </c>
    </row>
    <row r="647" spans="1:22" x14ac:dyDescent="0.25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6.3</v>
      </c>
      <c r="G647" t="s">
        <v>32</v>
      </c>
      <c r="H647" t="s">
        <v>17</v>
      </c>
      <c r="I647">
        <v>6.2</v>
      </c>
      <c r="J647">
        <v>5</v>
      </c>
      <c r="K647" t="s">
        <v>24</v>
      </c>
      <c r="L647">
        <v>4</v>
      </c>
      <c r="M647">
        <v>8</v>
      </c>
      <c r="N647" t="str">
        <f t="shared" si="80"/>
        <v>Facebook</v>
      </c>
      <c r="O647">
        <f t="shared" si="81"/>
        <v>0</v>
      </c>
      <c r="P647" t="str">
        <f t="shared" si="82"/>
        <v>6.2</v>
      </c>
      <c r="Q647" t="str">
        <f t="shared" si="83"/>
        <v>OK</v>
      </c>
      <c r="R647" t="b">
        <f t="shared" si="86"/>
        <v>1</v>
      </c>
      <c r="S647" t="str">
        <f t="shared" si="84"/>
        <v>High</v>
      </c>
      <c r="T647" t="str">
        <f t="shared" si="85"/>
        <v>8</v>
      </c>
      <c r="U647">
        <v>3.2</v>
      </c>
      <c r="V647" t="b">
        <f t="shared" si="87"/>
        <v>1</v>
      </c>
    </row>
    <row r="648" spans="1:22" x14ac:dyDescent="0.25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4.8</v>
      </c>
      <c r="G648" t="s">
        <v>16</v>
      </c>
      <c r="H648" t="s">
        <v>23</v>
      </c>
      <c r="I648">
        <v>7.1</v>
      </c>
      <c r="J648">
        <v>7</v>
      </c>
      <c r="K648" t="s">
        <v>18</v>
      </c>
      <c r="L648">
        <v>2</v>
      </c>
      <c r="M648">
        <v>5</v>
      </c>
      <c r="N648" t="str">
        <f t="shared" si="80"/>
        <v>Instagram</v>
      </c>
      <c r="O648">
        <f t="shared" si="81"/>
        <v>1</v>
      </c>
      <c r="P648" t="str">
        <f t="shared" si="82"/>
        <v>7.1</v>
      </c>
      <c r="Q648" t="str">
        <f t="shared" si="83"/>
        <v>OK</v>
      </c>
      <c r="R648" t="str">
        <f t="shared" si="86"/>
        <v>medium</v>
      </c>
      <c r="S648" t="str">
        <f t="shared" si="84"/>
        <v>Medium</v>
      </c>
      <c r="T648" t="str">
        <f t="shared" si="85"/>
        <v>5</v>
      </c>
      <c r="U648">
        <v>3.2</v>
      </c>
      <c r="V648" t="b">
        <f t="shared" si="87"/>
        <v>1</v>
      </c>
    </row>
    <row r="649" spans="1:22" x14ac:dyDescent="0.25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5.7</v>
      </c>
      <c r="G649" t="s">
        <v>26</v>
      </c>
      <c r="H649" t="s">
        <v>17</v>
      </c>
      <c r="I649">
        <v>6.6</v>
      </c>
      <c r="J649">
        <v>6</v>
      </c>
      <c r="K649" t="s">
        <v>24</v>
      </c>
      <c r="L649">
        <v>3</v>
      </c>
      <c r="M649">
        <v>7</v>
      </c>
      <c r="N649" t="str">
        <f t="shared" si="80"/>
        <v>Tiktok</v>
      </c>
      <c r="O649">
        <f t="shared" si="81"/>
        <v>2</v>
      </c>
      <c r="P649" t="str">
        <f t="shared" si="82"/>
        <v>6.6</v>
      </c>
      <c r="Q649" t="str">
        <f t="shared" si="83"/>
        <v>OK</v>
      </c>
      <c r="R649" t="b">
        <f t="shared" si="86"/>
        <v>1</v>
      </c>
      <c r="S649" t="str">
        <f t="shared" si="84"/>
        <v>High</v>
      </c>
      <c r="T649" t="str">
        <f t="shared" si="85"/>
        <v>7</v>
      </c>
      <c r="U649">
        <v>3.2</v>
      </c>
      <c r="V649" t="b">
        <f t="shared" si="87"/>
        <v>1</v>
      </c>
    </row>
    <row r="650" spans="1:22" x14ac:dyDescent="0.25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6.2</v>
      </c>
      <c r="G650" t="s">
        <v>22</v>
      </c>
      <c r="H650" t="s">
        <v>17</v>
      </c>
      <c r="I650">
        <v>6.3</v>
      </c>
      <c r="J650">
        <v>5</v>
      </c>
      <c r="K650" t="s">
        <v>24</v>
      </c>
      <c r="L650">
        <v>4</v>
      </c>
      <c r="M650">
        <v>8</v>
      </c>
      <c r="N650" t="str">
        <f t="shared" si="80"/>
        <v>Twitter</v>
      </c>
      <c r="O650">
        <f t="shared" si="81"/>
        <v>3</v>
      </c>
      <c r="P650" t="str">
        <f t="shared" si="82"/>
        <v>6.3</v>
      </c>
      <c r="Q650" t="str">
        <f t="shared" si="83"/>
        <v>OK</v>
      </c>
      <c r="R650" t="b">
        <f t="shared" si="86"/>
        <v>1</v>
      </c>
      <c r="S650" t="str">
        <f t="shared" si="84"/>
        <v>High</v>
      </c>
      <c r="T650" t="str">
        <f t="shared" si="85"/>
        <v>8</v>
      </c>
      <c r="U650">
        <v>3.2</v>
      </c>
      <c r="V650" t="b">
        <f t="shared" si="87"/>
        <v>1</v>
      </c>
    </row>
    <row r="651" spans="1:22" x14ac:dyDescent="0.25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4.7</v>
      </c>
      <c r="G651" t="s">
        <v>32</v>
      </c>
      <c r="H651" t="s">
        <v>23</v>
      </c>
      <c r="I651">
        <v>7.2</v>
      </c>
      <c r="J651">
        <v>7</v>
      </c>
      <c r="K651" t="s">
        <v>18</v>
      </c>
      <c r="L651">
        <v>2</v>
      </c>
      <c r="M651">
        <v>5</v>
      </c>
      <c r="N651" t="str">
        <f t="shared" si="80"/>
        <v>Facebook</v>
      </c>
      <c r="O651">
        <f t="shared" si="81"/>
        <v>0</v>
      </c>
      <c r="P651" t="str">
        <f t="shared" si="82"/>
        <v>7.2</v>
      </c>
      <c r="Q651" t="str">
        <f t="shared" si="83"/>
        <v>OK</v>
      </c>
      <c r="R651" t="str">
        <f t="shared" si="86"/>
        <v>medium</v>
      </c>
      <c r="S651" t="str">
        <f t="shared" si="84"/>
        <v>Medium</v>
      </c>
      <c r="T651" t="str">
        <f t="shared" si="85"/>
        <v>5</v>
      </c>
      <c r="U651">
        <v>3.1</v>
      </c>
      <c r="V651" t="b">
        <f t="shared" si="87"/>
        <v>1</v>
      </c>
    </row>
    <row r="652" spans="1:22" x14ac:dyDescent="0.25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6.8</v>
      </c>
      <c r="G652" t="s">
        <v>16</v>
      </c>
      <c r="H652" t="s">
        <v>17</v>
      </c>
      <c r="I652">
        <v>5.9</v>
      </c>
      <c r="J652">
        <v>4</v>
      </c>
      <c r="K652" t="s">
        <v>24</v>
      </c>
      <c r="L652">
        <v>5</v>
      </c>
      <c r="M652">
        <v>9</v>
      </c>
      <c r="N652" t="str">
        <f t="shared" si="80"/>
        <v>Instagram</v>
      </c>
      <c r="O652">
        <f t="shared" si="81"/>
        <v>1</v>
      </c>
      <c r="P652" t="str">
        <f t="shared" si="82"/>
        <v>5.9</v>
      </c>
      <c r="Q652" t="str">
        <f t="shared" si="83"/>
        <v>OK</v>
      </c>
      <c r="R652" t="b">
        <f t="shared" si="86"/>
        <v>1</v>
      </c>
      <c r="S652" t="str">
        <f t="shared" si="84"/>
        <v>High</v>
      </c>
      <c r="T652" t="str">
        <f t="shared" si="85"/>
        <v>9</v>
      </c>
      <c r="U652">
        <v>3.1</v>
      </c>
      <c r="V652" t="b">
        <f t="shared" si="87"/>
        <v>1</v>
      </c>
    </row>
    <row r="653" spans="1:22" x14ac:dyDescent="0.25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5.6</v>
      </c>
      <c r="G653" t="s">
        <v>144</v>
      </c>
      <c r="H653" t="s">
        <v>17</v>
      </c>
      <c r="I653">
        <v>6.7</v>
      </c>
      <c r="J653">
        <v>6</v>
      </c>
      <c r="K653" t="s">
        <v>18</v>
      </c>
      <c r="L653">
        <v>3</v>
      </c>
      <c r="M653">
        <v>7</v>
      </c>
      <c r="N653" t="str">
        <f t="shared" si="80"/>
        <v>Wechat</v>
      </c>
      <c r="O653">
        <f t="shared" si="81"/>
        <v>1</v>
      </c>
      <c r="P653" t="str">
        <f t="shared" si="82"/>
        <v>6.7</v>
      </c>
      <c r="Q653" t="str">
        <f t="shared" si="83"/>
        <v>OK</v>
      </c>
      <c r="R653" t="b">
        <f t="shared" si="86"/>
        <v>1</v>
      </c>
      <c r="S653" t="str">
        <f t="shared" si="84"/>
        <v>High</v>
      </c>
      <c r="T653" t="str">
        <f t="shared" si="85"/>
        <v>7</v>
      </c>
      <c r="U653">
        <v>3.1</v>
      </c>
      <c r="V653" t="b">
        <f t="shared" si="87"/>
        <v>1</v>
      </c>
    </row>
    <row r="654" spans="1:22" x14ac:dyDescent="0.25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4.3</v>
      </c>
      <c r="G654" t="s">
        <v>22</v>
      </c>
      <c r="H654" t="s">
        <v>23</v>
      </c>
      <c r="I654">
        <v>7.5</v>
      </c>
      <c r="J654">
        <v>8</v>
      </c>
      <c r="K654" t="s">
        <v>24</v>
      </c>
      <c r="L654">
        <v>2</v>
      </c>
      <c r="M654">
        <v>4</v>
      </c>
      <c r="N654" t="str">
        <f t="shared" si="80"/>
        <v>Twitter</v>
      </c>
      <c r="O654">
        <f t="shared" si="81"/>
        <v>3</v>
      </c>
      <c r="P654" t="str">
        <f t="shared" si="82"/>
        <v>7.5</v>
      </c>
      <c r="Q654" t="str">
        <f t="shared" si="83"/>
        <v>OK</v>
      </c>
      <c r="R654" t="str">
        <f t="shared" si="86"/>
        <v>medium</v>
      </c>
      <c r="S654" t="str">
        <f t="shared" si="84"/>
        <v>Low</v>
      </c>
      <c r="T654" t="str">
        <f t="shared" si="85"/>
        <v>4</v>
      </c>
      <c r="U654">
        <v>3.1</v>
      </c>
      <c r="V654" t="b">
        <f t="shared" si="87"/>
        <v>1</v>
      </c>
    </row>
    <row r="655" spans="1:22" x14ac:dyDescent="0.25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6.2</v>
      </c>
      <c r="G655" t="s">
        <v>26</v>
      </c>
      <c r="H655" t="s">
        <v>17</v>
      </c>
      <c r="I655">
        <v>6.3</v>
      </c>
      <c r="J655">
        <v>5</v>
      </c>
      <c r="K655" t="s">
        <v>24</v>
      </c>
      <c r="L655">
        <v>4</v>
      </c>
      <c r="M655">
        <v>8</v>
      </c>
      <c r="N655" t="str">
        <f t="shared" si="80"/>
        <v>Tiktok</v>
      </c>
      <c r="O655">
        <f t="shared" si="81"/>
        <v>2</v>
      </c>
      <c r="P655" t="str">
        <f t="shared" si="82"/>
        <v>6.3</v>
      </c>
      <c r="Q655" t="str">
        <f t="shared" si="83"/>
        <v>OK</v>
      </c>
      <c r="R655" t="b">
        <f t="shared" si="86"/>
        <v>1</v>
      </c>
      <c r="S655" t="str">
        <f t="shared" si="84"/>
        <v>High</v>
      </c>
      <c r="T655" t="str">
        <f t="shared" si="85"/>
        <v>8</v>
      </c>
      <c r="U655">
        <v>3.1</v>
      </c>
      <c r="V655" t="b">
        <f t="shared" si="87"/>
        <v>1</v>
      </c>
    </row>
    <row r="656" spans="1:22" x14ac:dyDescent="0.25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4.4000000000000004</v>
      </c>
      <c r="G656" t="s">
        <v>16</v>
      </c>
      <c r="H656" t="s">
        <v>23</v>
      </c>
      <c r="I656">
        <v>7.4</v>
      </c>
      <c r="J656">
        <v>7</v>
      </c>
      <c r="K656" t="s">
        <v>18</v>
      </c>
      <c r="L656">
        <v>2</v>
      </c>
      <c r="M656">
        <v>5</v>
      </c>
      <c r="N656" t="str">
        <f t="shared" si="80"/>
        <v>Instagram</v>
      </c>
      <c r="O656">
        <f t="shared" si="81"/>
        <v>1</v>
      </c>
      <c r="P656" t="str">
        <f t="shared" si="82"/>
        <v>7.4</v>
      </c>
      <c r="Q656" t="str">
        <f t="shared" si="83"/>
        <v>OK</v>
      </c>
      <c r="R656" t="str">
        <f t="shared" si="86"/>
        <v>medium</v>
      </c>
      <c r="S656" t="str">
        <f t="shared" si="84"/>
        <v>Medium</v>
      </c>
      <c r="T656" t="str">
        <f t="shared" si="85"/>
        <v>5</v>
      </c>
      <c r="U656">
        <v>3.1</v>
      </c>
      <c r="V656" t="b">
        <f t="shared" si="87"/>
        <v>1</v>
      </c>
    </row>
    <row r="657" spans="1:22" x14ac:dyDescent="0.25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6.5</v>
      </c>
      <c r="G657" t="s">
        <v>32</v>
      </c>
      <c r="H657" t="s">
        <v>17</v>
      </c>
      <c r="I657">
        <v>6.1</v>
      </c>
      <c r="J657">
        <v>5</v>
      </c>
      <c r="K657" t="s">
        <v>24</v>
      </c>
      <c r="L657">
        <v>4</v>
      </c>
      <c r="M657">
        <v>8</v>
      </c>
      <c r="N657" t="str">
        <f t="shared" si="80"/>
        <v>Facebook</v>
      </c>
      <c r="O657">
        <f t="shared" si="81"/>
        <v>0</v>
      </c>
      <c r="P657" t="str">
        <f t="shared" si="82"/>
        <v>6.1</v>
      </c>
      <c r="Q657" t="str">
        <f t="shared" si="83"/>
        <v>OK</v>
      </c>
      <c r="R657" t="b">
        <f t="shared" si="86"/>
        <v>1</v>
      </c>
      <c r="S657" t="str">
        <f t="shared" si="84"/>
        <v>High</v>
      </c>
      <c r="T657" t="str">
        <f t="shared" si="85"/>
        <v>8</v>
      </c>
      <c r="U657">
        <v>3.1</v>
      </c>
      <c r="V657" t="b">
        <f t="shared" si="87"/>
        <v>1</v>
      </c>
    </row>
    <row r="658" spans="1:22" x14ac:dyDescent="0.25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4.5999999999999996</v>
      </c>
      <c r="G658" t="s">
        <v>22</v>
      </c>
      <c r="H658" t="s">
        <v>23</v>
      </c>
      <c r="I658">
        <v>7.3</v>
      </c>
      <c r="J658">
        <v>7</v>
      </c>
      <c r="K658" t="s">
        <v>18</v>
      </c>
      <c r="L658">
        <v>2</v>
      </c>
      <c r="M658">
        <v>5</v>
      </c>
      <c r="N658" t="str">
        <f t="shared" si="80"/>
        <v>Twitter</v>
      </c>
      <c r="O658">
        <f t="shared" si="81"/>
        <v>3</v>
      </c>
      <c r="P658" t="str">
        <f t="shared" si="82"/>
        <v>7.3</v>
      </c>
      <c r="Q658" t="str">
        <f t="shared" si="83"/>
        <v>OK</v>
      </c>
      <c r="R658" t="str">
        <f t="shared" si="86"/>
        <v>medium</v>
      </c>
      <c r="S658" t="str">
        <f t="shared" si="84"/>
        <v>Medium</v>
      </c>
      <c r="T658" t="str">
        <f t="shared" si="85"/>
        <v>5</v>
      </c>
      <c r="U658">
        <v>3</v>
      </c>
      <c r="V658" t="b">
        <f t="shared" si="87"/>
        <v>1</v>
      </c>
    </row>
    <row r="659" spans="1:22" x14ac:dyDescent="0.25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5.8</v>
      </c>
      <c r="G659" t="s">
        <v>16</v>
      </c>
      <c r="H659" t="s">
        <v>17</v>
      </c>
      <c r="I659">
        <v>6.6</v>
      </c>
      <c r="J659">
        <v>6</v>
      </c>
      <c r="K659" t="s">
        <v>24</v>
      </c>
      <c r="L659">
        <v>3</v>
      </c>
      <c r="M659">
        <v>7</v>
      </c>
      <c r="N659" t="str">
        <f t="shared" si="80"/>
        <v>Instagram</v>
      </c>
      <c r="O659">
        <f t="shared" si="81"/>
        <v>1</v>
      </c>
      <c r="P659" t="str">
        <f t="shared" si="82"/>
        <v>6.6</v>
      </c>
      <c r="Q659" t="str">
        <f t="shared" si="83"/>
        <v>OK</v>
      </c>
      <c r="R659" t="b">
        <f t="shared" si="86"/>
        <v>1</v>
      </c>
      <c r="S659" t="str">
        <f t="shared" si="84"/>
        <v>High</v>
      </c>
      <c r="T659" t="str">
        <f t="shared" si="85"/>
        <v>7</v>
      </c>
      <c r="U659">
        <v>3</v>
      </c>
      <c r="V659" t="b">
        <f t="shared" si="87"/>
        <v>1</v>
      </c>
    </row>
    <row r="660" spans="1:22" x14ac:dyDescent="0.25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7.1</v>
      </c>
      <c r="G660" t="s">
        <v>26</v>
      </c>
      <c r="H660" t="s">
        <v>17</v>
      </c>
      <c r="I660">
        <v>5.8</v>
      </c>
      <c r="J660">
        <v>4</v>
      </c>
      <c r="K660" t="s">
        <v>24</v>
      </c>
      <c r="L660">
        <v>5</v>
      </c>
      <c r="M660">
        <v>9</v>
      </c>
      <c r="N660" t="str">
        <f t="shared" si="80"/>
        <v>Tiktok</v>
      </c>
      <c r="O660">
        <f t="shared" si="81"/>
        <v>2</v>
      </c>
      <c r="P660" t="str">
        <f t="shared" si="82"/>
        <v>5.8</v>
      </c>
      <c r="Q660" t="str">
        <f t="shared" si="83"/>
        <v>OK</v>
      </c>
      <c r="R660" t="b">
        <f t="shared" si="86"/>
        <v>1</v>
      </c>
      <c r="S660" t="str">
        <f t="shared" si="84"/>
        <v>High</v>
      </c>
      <c r="T660" t="str">
        <f t="shared" si="85"/>
        <v>9</v>
      </c>
      <c r="U660">
        <v>3</v>
      </c>
      <c r="V660" t="b">
        <f t="shared" si="87"/>
        <v>1</v>
      </c>
    </row>
    <row r="661" spans="1:22" x14ac:dyDescent="0.25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4.5</v>
      </c>
      <c r="G661" t="s">
        <v>32</v>
      </c>
      <c r="H661" t="s">
        <v>23</v>
      </c>
      <c r="I661">
        <v>7.3</v>
      </c>
      <c r="J661">
        <v>7</v>
      </c>
      <c r="K661" t="s">
        <v>18</v>
      </c>
      <c r="L661">
        <v>2</v>
      </c>
      <c r="M661">
        <v>5</v>
      </c>
      <c r="N661" t="str">
        <f t="shared" si="80"/>
        <v>Facebook</v>
      </c>
      <c r="O661">
        <f t="shared" si="81"/>
        <v>0</v>
      </c>
      <c r="P661" t="str">
        <f t="shared" si="82"/>
        <v>7.3</v>
      </c>
      <c r="Q661" t="str">
        <f t="shared" si="83"/>
        <v>OK</v>
      </c>
      <c r="R661" t="str">
        <f t="shared" si="86"/>
        <v>medium</v>
      </c>
      <c r="S661" t="str">
        <f t="shared" si="84"/>
        <v>Medium</v>
      </c>
      <c r="T661" t="str">
        <f t="shared" si="85"/>
        <v>5</v>
      </c>
      <c r="U661">
        <v>3</v>
      </c>
      <c r="V661" t="b">
        <f t="shared" si="87"/>
        <v>1</v>
      </c>
    </row>
    <row r="662" spans="1:22" x14ac:dyDescent="0.25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6.7</v>
      </c>
      <c r="G662" t="s">
        <v>16</v>
      </c>
      <c r="H662" t="s">
        <v>17</v>
      </c>
      <c r="I662">
        <v>6</v>
      </c>
      <c r="J662">
        <v>5</v>
      </c>
      <c r="K662" t="s">
        <v>24</v>
      </c>
      <c r="L662">
        <v>4</v>
      </c>
      <c r="M662">
        <v>8</v>
      </c>
      <c r="N662" t="str">
        <f t="shared" si="80"/>
        <v>Instagram</v>
      </c>
      <c r="O662">
        <f t="shared" si="81"/>
        <v>1</v>
      </c>
      <c r="P662" t="str">
        <f t="shared" si="82"/>
        <v>6</v>
      </c>
      <c r="Q662" t="str">
        <f t="shared" si="83"/>
        <v>OK</v>
      </c>
      <c r="R662" t="b">
        <f t="shared" si="86"/>
        <v>1</v>
      </c>
      <c r="S662" t="str">
        <f t="shared" si="84"/>
        <v>High</v>
      </c>
      <c r="T662" t="str">
        <f t="shared" si="85"/>
        <v>8</v>
      </c>
      <c r="U662">
        <v>3</v>
      </c>
      <c r="V662" t="b">
        <f t="shared" si="87"/>
        <v>1</v>
      </c>
    </row>
    <row r="663" spans="1:22" x14ac:dyDescent="0.25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5.4</v>
      </c>
      <c r="G663" t="s">
        <v>22</v>
      </c>
      <c r="H663" t="s">
        <v>17</v>
      </c>
      <c r="I663">
        <v>6.8</v>
      </c>
      <c r="J663">
        <v>6</v>
      </c>
      <c r="K663" t="s">
        <v>18</v>
      </c>
      <c r="L663">
        <v>3</v>
      </c>
      <c r="M663">
        <v>7</v>
      </c>
      <c r="N663" t="str">
        <f t="shared" si="80"/>
        <v>Twitter</v>
      </c>
      <c r="O663">
        <f t="shared" si="81"/>
        <v>3</v>
      </c>
      <c r="P663" t="str">
        <f t="shared" si="82"/>
        <v>6.8</v>
      </c>
      <c r="Q663" t="str">
        <f t="shared" si="83"/>
        <v>OK</v>
      </c>
      <c r="R663" t="b">
        <f t="shared" si="86"/>
        <v>1</v>
      </c>
      <c r="S663" t="str">
        <f t="shared" si="84"/>
        <v>High</v>
      </c>
      <c r="T663" t="str">
        <f t="shared" si="85"/>
        <v>7</v>
      </c>
      <c r="U663">
        <v>3</v>
      </c>
      <c r="V663" t="b">
        <f t="shared" si="87"/>
        <v>1</v>
      </c>
    </row>
    <row r="664" spans="1:22" x14ac:dyDescent="0.25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6.4</v>
      </c>
      <c r="G664" t="s">
        <v>26</v>
      </c>
      <c r="H664" t="s">
        <v>17</v>
      </c>
      <c r="I664">
        <v>6.2</v>
      </c>
      <c r="J664">
        <v>5</v>
      </c>
      <c r="K664" t="s">
        <v>24</v>
      </c>
      <c r="L664">
        <v>4</v>
      </c>
      <c r="M664">
        <v>8</v>
      </c>
      <c r="N664" t="str">
        <f t="shared" si="80"/>
        <v>Tiktok</v>
      </c>
      <c r="O664">
        <f t="shared" si="81"/>
        <v>2</v>
      </c>
      <c r="P664" t="str">
        <f t="shared" si="82"/>
        <v>6.2</v>
      </c>
      <c r="Q664" t="str">
        <f t="shared" si="83"/>
        <v>OK</v>
      </c>
      <c r="R664" t="b">
        <f t="shared" si="86"/>
        <v>1</v>
      </c>
      <c r="S664" t="str">
        <f t="shared" si="84"/>
        <v>High</v>
      </c>
      <c r="T664" t="str">
        <f t="shared" si="85"/>
        <v>8</v>
      </c>
      <c r="U664">
        <v>2.9</v>
      </c>
      <c r="V664" t="b">
        <f t="shared" si="87"/>
        <v>1</v>
      </c>
    </row>
    <row r="665" spans="1:22" x14ac:dyDescent="0.25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4.7</v>
      </c>
      <c r="G665" t="s">
        <v>32</v>
      </c>
      <c r="H665" t="s">
        <v>23</v>
      </c>
      <c r="I665">
        <v>7.2</v>
      </c>
      <c r="J665">
        <v>7</v>
      </c>
      <c r="K665" t="s">
        <v>18</v>
      </c>
      <c r="L665">
        <v>2</v>
      </c>
      <c r="M665">
        <v>5</v>
      </c>
      <c r="N665" t="str">
        <f t="shared" si="80"/>
        <v>Facebook</v>
      </c>
      <c r="O665">
        <f t="shared" si="81"/>
        <v>0</v>
      </c>
      <c r="P665" t="str">
        <f t="shared" si="82"/>
        <v>7.2</v>
      </c>
      <c r="Q665" t="str">
        <f t="shared" si="83"/>
        <v>OK</v>
      </c>
      <c r="R665" t="str">
        <f t="shared" si="86"/>
        <v>medium</v>
      </c>
      <c r="S665" t="str">
        <f t="shared" si="84"/>
        <v>Medium</v>
      </c>
      <c r="T665" t="str">
        <f t="shared" si="85"/>
        <v>5</v>
      </c>
      <c r="U665">
        <v>2.9</v>
      </c>
      <c r="V665" t="b">
        <f t="shared" si="87"/>
        <v>1</v>
      </c>
    </row>
    <row r="666" spans="1:22" x14ac:dyDescent="0.25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5.6</v>
      </c>
      <c r="G666" t="s">
        <v>16</v>
      </c>
      <c r="H666" t="s">
        <v>17</v>
      </c>
      <c r="I666">
        <v>6.7</v>
      </c>
      <c r="J666">
        <v>6</v>
      </c>
      <c r="K666" t="s">
        <v>24</v>
      </c>
      <c r="L666">
        <v>3</v>
      </c>
      <c r="M666">
        <v>7</v>
      </c>
      <c r="N666" t="str">
        <f t="shared" si="80"/>
        <v>Instagram</v>
      </c>
      <c r="O666">
        <f t="shared" si="81"/>
        <v>1</v>
      </c>
      <c r="P666" t="str">
        <f t="shared" si="82"/>
        <v>6.7</v>
      </c>
      <c r="Q666" t="str">
        <f t="shared" si="83"/>
        <v>OK</v>
      </c>
      <c r="R666" t="b">
        <f t="shared" si="86"/>
        <v>1</v>
      </c>
      <c r="S666" t="str">
        <f t="shared" si="84"/>
        <v>High</v>
      </c>
      <c r="T666" t="str">
        <f t="shared" si="85"/>
        <v>7</v>
      </c>
      <c r="U666">
        <v>2.9</v>
      </c>
      <c r="V666" t="b">
        <f t="shared" si="87"/>
        <v>1</v>
      </c>
    </row>
    <row r="667" spans="1:22" x14ac:dyDescent="0.25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6.3</v>
      </c>
      <c r="G667" t="s">
        <v>22</v>
      </c>
      <c r="H667" t="s">
        <v>17</v>
      </c>
      <c r="I667">
        <v>6.2</v>
      </c>
      <c r="J667">
        <v>5</v>
      </c>
      <c r="K667" t="s">
        <v>24</v>
      </c>
      <c r="L667">
        <v>4</v>
      </c>
      <c r="M667">
        <v>8</v>
      </c>
      <c r="N667" t="str">
        <f t="shared" si="80"/>
        <v>Twitter</v>
      </c>
      <c r="O667">
        <f t="shared" si="81"/>
        <v>3</v>
      </c>
      <c r="P667" t="str">
        <f t="shared" si="82"/>
        <v>6.2</v>
      </c>
      <c r="Q667" t="str">
        <f t="shared" si="83"/>
        <v>OK</v>
      </c>
      <c r="R667" t="b">
        <f t="shared" si="86"/>
        <v>1</v>
      </c>
      <c r="S667" t="str">
        <f t="shared" si="84"/>
        <v>High</v>
      </c>
      <c r="T667" t="str">
        <f t="shared" si="85"/>
        <v>8</v>
      </c>
      <c r="U667">
        <v>2.9</v>
      </c>
      <c r="V667" t="b">
        <f t="shared" si="87"/>
        <v>1</v>
      </c>
    </row>
    <row r="668" spans="1:22" x14ac:dyDescent="0.25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4.8</v>
      </c>
      <c r="G668" t="s">
        <v>26</v>
      </c>
      <c r="H668" t="s">
        <v>23</v>
      </c>
      <c r="I668">
        <v>7.1</v>
      </c>
      <c r="J668">
        <v>7</v>
      </c>
      <c r="K668" t="s">
        <v>18</v>
      </c>
      <c r="L668">
        <v>2</v>
      </c>
      <c r="M668">
        <v>5</v>
      </c>
      <c r="N668" t="str">
        <f t="shared" si="80"/>
        <v>Tiktok</v>
      </c>
      <c r="O668">
        <f t="shared" si="81"/>
        <v>2</v>
      </c>
      <c r="P668" t="str">
        <f t="shared" si="82"/>
        <v>7.1</v>
      </c>
      <c r="Q668" t="str">
        <f t="shared" si="83"/>
        <v>OK</v>
      </c>
      <c r="R668" t="str">
        <f t="shared" si="86"/>
        <v>medium</v>
      </c>
      <c r="S668" t="str">
        <f t="shared" si="84"/>
        <v>Medium</v>
      </c>
      <c r="T668" t="str">
        <f t="shared" si="85"/>
        <v>5</v>
      </c>
      <c r="U668">
        <v>2.9</v>
      </c>
      <c r="V668" t="b">
        <f t="shared" si="87"/>
        <v>1</v>
      </c>
    </row>
    <row r="669" spans="1:22" x14ac:dyDescent="0.25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6.9</v>
      </c>
      <c r="G669" t="s">
        <v>16</v>
      </c>
      <c r="H669" t="s">
        <v>17</v>
      </c>
      <c r="I669">
        <v>5.9</v>
      </c>
      <c r="J669">
        <v>4</v>
      </c>
      <c r="K669" t="s">
        <v>24</v>
      </c>
      <c r="L669">
        <v>5</v>
      </c>
      <c r="M669">
        <v>9</v>
      </c>
      <c r="N669" t="str">
        <f t="shared" si="80"/>
        <v>Instagram</v>
      </c>
      <c r="O669">
        <f t="shared" si="81"/>
        <v>1</v>
      </c>
      <c r="P669" t="str">
        <f t="shared" si="82"/>
        <v>5.9</v>
      </c>
      <c r="Q669" t="str">
        <f t="shared" si="83"/>
        <v>OK</v>
      </c>
      <c r="R669" t="b">
        <f t="shared" si="86"/>
        <v>1</v>
      </c>
      <c r="S669" t="str">
        <f t="shared" si="84"/>
        <v>High</v>
      </c>
      <c r="T669" t="str">
        <f t="shared" si="85"/>
        <v>9</v>
      </c>
      <c r="U669">
        <v>2.9</v>
      </c>
      <c r="V669" t="b">
        <f t="shared" si="87"/>
        <v>1</v>
      </c>
    </row>
    <row r="670" spans="1:22" x14ac:dyDescent="0.25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5.7</v>
      </c>
      <c r="G670" t="s">
        <v>144</v>
      </c>
      <c r="H670" t="s">
        <v>17</v>
      </c>
      <c r="I670">
        <v>6.7</v>
      </c>
      <c r="J670">
        <v>6</v>
      </c>
      <c r="K670" t="s">
        <v>18</v>
      </c>
      <c r="L670">
        <v>3</v>
      </c>
      <c r="M670">
        <v>7</v>
      </c>
      <c r="N670" t="str">
        <f t="shared" si="80"/>
        <v>Wechat</v>
      </c>
      <c r="O670">
        <f t="shared" si="81"/>
        <v>1</v>
      </c>
      <c r="P670" t="str">
        <f t="shared" si="82"/>
        <v>6.7</v>
      </c>
      <c r="Q670" t="str">
        <f t="shared" si="83"/>
        <v>OK</v>
      </c>
      <c r="R670" t="b">
        <f t="shared" si="86"/>
        <v>1</v>
      </c>
      <c r="S670" t="str">
        <f t="shared" si="84"/>
        <v>High</v>
      </c>
      <c r="T670" t="str">
        <f t="shared" si="85"/>
        <v>7</v>
      </c>
      <c r="U670">
        <v>2.9</v>
      </c>
      <c r="V670" t="b">
        <f t="shared" si="87"/>
        <v>1</v>
      </c>
    </row>
    <row r="671" spans="1:22" x14ac:dyDescent="0.25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4.4000000000000004</v>
      </c>
      <c r="G671" t="s">
        <v>22</v>
      </c>
      <c r="H671" t="s">
        <v>23</v>
      </c>
      <c r="I671">
        <v>7.4</v>
      </c>
      <c r="J671">
        <v>8</v>
      </c>
      <c r="K671" t="s">
        <v>24</v>
      </c>
      <c r="L671">
        <v>2</v>
      </c>
      <c r="M671">
        <v>4</v>
      </c>
      <c r="N671" t="str">
        <f t="shared" si="80"/>
        <v>Twitter</v>
      </c>
      <c r="O671">
        <f t="shared" si="81"/>
        <v>3</v>
      </c>
      <c r="P671" t="str">
        <f t="shared" si="82"/>
        <v>7.4</v>
      </c>
      <c r="Q671" t="str">
        <f t="shared" si="83"/>
        <v>OK</v>
      </c>
      <c r="R671" t="str">
        <f t="shared" si="86"/>
        <v>medium</v>
      </c>
      <c r="S671" t="str">
        <f t="shared" si="84"/>
        <v>Low</v>
      </c>
      <c r="T671" t="str">
        <f t="shared" si="85"/>
        <v>4</v>
      </c>
      <c r="U671">
        <v>2.8</v>
      </c>
      <c r="V671" t="b">
        <f t="shared" si="87"/>
        <v>1</v>
      </c>
    </row>
    <row r="672" spans="1:22" x14ac:dyDescent="0.25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6.1</v>
      </c>
      <c r="G672" t="s">
        <v>32</v>
      </c>
      <c r="H672" t="s">
        <v>17</v>
      </c>
      <c r="I672">
        <v>6.4</v>
      </c>
      <c r="J672">
        <v>5</v>
      </c>
      <c r="K672" t="s">
        <v>24</v>
      </c>
      <c r="L672">
        <v>4</v>
      </c>
      <c r="M672">
        <v>8</v>
      </c>
      <c r="N672" t="str">
        <f t="shared" si="80"/>
        <v>Facebook</v>
      </c>
      <c r="O672">
        <f t="shared" si="81"/>
        <v>0</v>
      </c>
      <c r="P672" t="str">
        <f t="shared" si="82"/>
        <v>6.4</v>
      </c>
      <c r="Q672" t="str">
        <f t="shared" si="83"/>
        <v>OK</v>
      </c>
      <c r="R672" t="b">
        <f t="shared" si="86"/>
        <v>1</v>
      </c>
      <c r="S672" t="str">
        <f t="shared" si="84"/>
        <v>High</v>
      </c>
      <c r="T672" t="str">
        <f t="shared" si="85"/>
        <v>8</v>
      </c>
      <c r="U672">
        <v>2.8</v>
      </c>
      <c r="V672" t="b">
        <f t="shared" si="87"/>
        <v>1</v>
      </c>
    </row>
    <row r="673" spans="1:22" x14ac:dyDescent="0.25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4.3</v>
      </c>
      <c r="G673" t="s">
        <v>16</v>
      </c>
      <c r="H673" t="s">
        <v>23</v>
      </c>
      <c r="I673">
        <v>7.5</v>
      </c>
      <c r="J673">
        <v>7</v>
      </c>
      <c r="K673" t="s">
        <v>18</v>
      </c>
      <c r="L673">
        <v>2</v>
      </c>
      <c r="M673">
        <v>5</v>
      </c>
      <c r="N673" t="str">
        <f t="shared" si="80"/>
        <v>Instagram</v>
      </c>
      <c r="O673">
        <f t="shared" si="81"/>
        <v>1</v>
      </c>
      <c r="P673" t="str">
        <f t="shared" si="82"/>
        <v>7.5</v>
      </c>
      <c r="Q673" t="str">
        <f t="shared" si="83"/>
        <v>OK</v>
      </c>
      <c r="R673" t="str">
        <f t="shared" si="86"/>
        <v>medium</v>
      </c>
      <c r="S673" t="str">
        <f t="shared" si="84"/>
        <v>Medium</v>
      </c>
      <c r="T673" t="str">
        <f t="shared" si="85"/>
        <v>5</v>
      </c>
      <c r="U673">
        <v>2.8</v>
      </c>
      <c r="V673" t="b">
        <f t="shared" si="87"/>
        <v>1</v>
      </c>
    </row>
    <row r="674" spans="1:22" x14ac:dyDescent="0.25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6.4</v>
      </c>
      <c r="G674" t="s">
        <v>26</v>
      </c>
      <c r="H674" t="s">
        <v>17</v>
      </c>
      <c r="I674">
        <v>6.2</v>
      </c>
      <c r="J674">
        <v>5</v>
      </c>
      <c r="K674" t="s">
        <v>24</v>
      </c>
      <c r="L674">
        <v>4</v>
      </c>
      <c r="M674">
        <v>8</v>
      </c>
      <c r="N674" t="str">
        <f t="shared" si="80"/>
        <v>Tiktok</v>
      </c>
      <c r="O674">
        <f t="shared" si="81"/>
        <v>2</v>
      </c>
      <c r="P674" t="str">
        <f t="shared" si="82"/>
        <v>6.2</v>
      </c>
      <c r="Q674" t="str">
        <f t="shared" si="83"/>
        <v>OK</v>
      </c>
      <c r="R674" t="b">
        <f t="shared" si="86"/>
        <v>1</v>
      </c>
      <c r="S674" t="str">
        <f t="shared" si="84"/>
        <v>High</v>
      </c>
      <c r="T674" t="str">
        <f t="shared" si="85"/>
        <v>8</v>
      </c>
      <c r="U674">
        <v>2.8</v>
      </c>
      <c r="V674" t="b">
        <f t="shared" si="87"/>
        <v>1</v>
      </c>
    </row>
    <row r="675" spans="1:22" x14ac:dyDescent="0.25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4.5</v>
      </c>
      <c r="G675" t="s">
        <v>22</v>
      </c>
      <c r="H675" t="s">
        <v>23</v>
      </c>
      <c r="I675">
        <v>7.3</v>
      </c>
      <c r="J675">
        <v>7</v>
      </c>
      <c r="K675" t="s">
        <v>18</v>
      </c>
      <c r="L675">
        <v>2</v>
      </c>
      <c r="M675">
        <v>5</v>
      </c>
      <c r="N675" t="str">
        <f t="shared" si="80"/>
        <v>Twitter</v>
      </c>
      <c r="O675">
        <f t="shared" si="81"/>
        <v>3</v>
      </c>
      <c r="P675" t="str">
        <f t="shared" si="82"/>
        <v>7.3</v>
      </c>
      <c r="Q675" t="str">
        <f t="shared" si="83"/>
        <v>OK</v>
      </c>
      <c r="R675" t="str">
        <f t="shared" si="86"/>
        <v>medium</v>
      </c>
      <c r="S675" t="str">
        <f t="shared" si="84"/>
        <v>Medium</v>
      </c>
      <c r="T675" t="str">
        <f t="shared" si="85"/>
        <v>5</v>
      </c>
      <c r="U675">
        <v>2.8</v>
      </c>
      <c r="V675" t="b">
        <f t="shared" si="87"/>
        <v>1</v>
      </c>
    </row>
    <row r="676" spans="1:22" x14ac:dyDescent="0.25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5.9</v>
      </c>
      <c r="G676" t="s">
        <v>16</v>
      </c>
      <c r="H676" t="s">
        <v>17</v>
      </c>
      <c r="I676">
        <v>6.5</v>
      </c>
      <c r="J676">
        <v>6</v>
      </c>
      <c r="K676" t="s">
        <v>24</v>
      </c>
      <c r="L676">
        <v>3</v>
      </c>
      <c r="M676">
        <v>7</v>
      </c>
      <c r="N676" t="str">
        <f t="shared" si="80"/>
        <v>Instagram</v>
      </c>
      <c r="O676">
        <f t="shared" si="81"/>
        <v>1</v>
      </c>
      <c r="P676" t="str">
        <f t="shared" si="82"/>
        <v>6.5</v>
      </c>
      <c r="Q676" t="str">
        <f t="shared" si="83"/>
        <v>OK</v>
      </c>
      <c r="R676" t="b">
        <f t="shared" si="86"/>
        <v>1</v>
      </c>
      <c r="S676" t="str">
        <f t="shared" si="84"/>
        <v>High</v>
      </c>
      <c r="T676" t="str">
        <f t="shared" si="85"/>
        <v>7</v>
      </c>
      <c r="U676">
        <v>2.8</v>
      </c>
      <c r="V676" t="b">
        <f t="shared" si="87"/>
        <v>1</v>
      </c>
    </row>
    <row r="677" spans="1:22" x14ac:dyDescent="0.25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7.2</v>
      </c>
      <c r="G677" t="s">
        <v>32</v>
      </c>
      <c r="H677" t="s">
        <v>17</v>
      </c>
      <c r="I677">
        <v>5.7</v>
      </c>
      <c r="J677">
        <v>4</v>
      </c>
      <c r="K677" t="s">
        <v>24</v>
      </c>
      <c r="L677">
        <v>5</v>
      </c>
      <c r="M677">
        <v>9</v>
      </c>
      <c r="N677" t="str">
        <f t="shared" si="80"/>
        <v>Facebook</v>
      </c>
      <c r="O677">
        <f t="shared" si="81"/>
        <v>0</v>
      </c>
      <c r="P677" t="str">
        <f t="shared" si="82"/>
        <v>5.7</v>
      </c>
      <c r="Q677" t="str">
        <f t="shared" si="83"/>
        <v>OK</v>
      </c>
      <c r="R677" t="b">
        <f t="shared" si="86"/>
        <v>1</v>
      </c>
      <c r="S677" t="str">
        <f t="shared" si="84"/>
        <v>High</v>
      </c>
      <c r="T677" t="str">
        <f t="shared" si="85"/>
        <v>9</v>
      </c>
      <c r="U677">
        <v>2.8</v>
      </c>
      <c r="V677" t="b">
        <f t="shared" si="87"/>
        <v>1</v>
      </c>
    </row>
    <row r="678" spans="1:22" x14ac:dyDescent="0.25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4.5999999999999996</v>
      </c>
      <c r="G678" t="s">
        <v>26</v>
      </c>
      <c r="H678" t="s">
        <v>23</v>
      </c>
      <c r="I678">
        <v>7.2</v>
      </c>
      <c r="J678">
        <v>7</v>
      </c>
      <c r="K678" t="s">
        <v>18</v>
      </c>
      <c r="L678">
        <v>2</v>
      </c>
      <c r="M678">
        <v>5</v>
      </c>
      <c r="N678" t="str">
        <f t="shared" si="80"/>
        <v>Tiktok</v>
      </c>
      <c r="O678">
        <f t="shared" si="81"/>
        <v>2</v>
      </c>
      <c r="P678" t="str">
        <f t="shared" si="82"/>
        <v>7.2</v>
      </c>
      <c r="Q678" t="str">
        <f t="shared" si="83"/>
        <v>OK</v>
      </c>
      <c r="R678" t="str">
        <f t="shared" si="86"/>
        <v>medium</v>
      </c>
      <c r="S678" t="str">
        <f t="shared" si="84"/>
        <v>Medium</v>
      </c>
      <c r="T678" t="str">
        <f t="shared" si="85"/>
        <v>5</v>
      </c>
      <c r="U678">
        <v>2.8</v>
      </c>
      <c r="V678" t="b">
        <f t="shared" si="87"/>
        <v>1</v>
      </c>
    </row>
    <row r="679" spans="1:22" x14ac:dyDescent="0.25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6.8</v>
      </c>
      <c r="G679" t="s">
        <v>16</v>
      </c>
      <c r="H679" t="s">
        <v>17</v>
      </c>
      <c r="I679">
        <v>6</v>
      </c>
      <c r="J679">
        <v>5</v>
      </c>
      <c r="K679" t="s">
        <v>24</v>
      </c>
      <c r="L679">
        <v>4</v>
      </c>
      <c r="M679">
        <v>8</v>
      </c>
      <c r="N679" t="str">
        <f t="shared" si="80"/>
        <v>Instagram</v>
      </c>
      <c r="O679">
        <f t="shared" si="81"/>
        <v>1</v>
      </c>
      <c r="P679" t="str">
        <f t="shared" si="82"/>
        <v>6</v>
      </c>
      <c r="Q679" t="str">
        <f t="shared" si="83"/>
        <v>OK</v>
      </c>
      <c r="R679" t="b">
        <f t="shared" si="86"/>
        <v>1</v>
      </c>
      <c r="S679" t="str">
        <f t="shared" si="84"/>
        <v>High</v>
      </c>
      <c r="T679" t="str">
        <f t="shared" si="85"/>
        <v>8</v>
      </c>
      <c r="U679">
        <v>2.7</v>
      </c>
      <c r="V679" t="b">
        <f t="shared" si="87"/>
        <v>1</v>
      </c>
    </row>
    <row r="680" spans="1:22" x14ac:dyDescent="0.25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5.3</v>
      </c>
      <c r="G680" t="s">
        <v>22</v>
      </c>
      <c r="H680" t="s">
        <v>17</v>
      </c>
      <c r="I680">
        <v>6.8</v>
      </c>
      <c r="J680">
        <v>6</v>
      </c>
      <c r="K680" t="s">
        <v>18</v>
      </c>
      <c r="L680">
        <v>3</v>
      </c>
      <c r="M680">
        <v>7</v>
      </c>
      <c r="N680" t="str">
        <f t="shared" si="80"/>
        <v>Twitter</v>
      </c>
      <c r="O680">
        <f t="shared" si="81"/>
        <v>3</v>
      </c>
      <c r="P680" t="str">
        <f t="shared" si="82"/>
        <v>6.8</v>
      </c>
      <c r="Q680" t="str">
        <f t="shared" si="83"/>
        <v>OK</v>
      </c>
      <c r="R680" t="b">
        <f t="shared" si="86"/>
        <v>1</v>
      </c>
      <c r="S680" t="str">
        <f t="shared" si="84"/>
        <v>High</v>
      </c>
      <c r="T680" t="str">
        <f t="shared" si="85"/>
        <v>7</v>
      </c>
      <c r="U680">
        <v>2.7</v>
      </c>
      <c r="V680" t="b">
        <f t="shared" si="87"/>
        <v>1</v>
      </c>
    </row>
    <row r="681" spans="1:22" x14ac:dyDescent="0.25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6.2</v>
      </c>
      <c r="G681" t="s">
        <v>32</v>
      </c>
      <c r="H681" t="s">
        <v>17</v>
      </c>
      <c r="I681">
        <v>6.3</v>
      </c>
      <c r="J681">
        <v>5</v>
      </c>
      <c r="K681" t="s">
        <v>24</v>
      </c>
      <c r="L681">
        <v>4</v>
      </c>
      <c r="M681">
        <v>8</v>
      </c>
      <c r="N681" t="str">
        <f t="shared" si="80"/>
        <v>Facebook</v>
      </c>
      <c r="O681">
        <f t="shared" si="81"/>
        <v>0</v>
      </c>
      <c r="P681" t="str">
        <f t="shared" si="82"/>
        <v>6.3</v>
      </c>
      <c r="Q681" t="str">
        <f t="shared" si="83"/>
        <v>OK</v>
      </c>
      <c r="R681" t="b">
        <f t="shared" si="86"/>
        <v>1</v>
      </c>
      <c r="S681" t="str">
        <f t="shared" si="84"/>
        <v>High</v>
      </c>
      <c r="T681" t="str">
        <f t="shared" si="85"/>
        <v>8</v>
      </c>
      <c r="U681">
        <v>2.7</v>
      </c>
      <c r="V681" t="b">
        <f t="shared" si="87"/>
        <v>1</v>
      </c>
    </row>
    <row r="682" spans="1:22" x14ac:dyDescent="0.25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4.7</v>
      </c>
      <c r="G682" t="s">
        <v>16</v>
      </c>
      <c r="H682" t="s">
        <v>23</v>
      </c>
      <c r="I682">
        <v>7.2</v>
      </c>
      <c r="J682">
        <v>7</v>
      </c>
      <c r="K682" t="s">
        <v>18</v>
      </c>
      <c r="L682">
        <v>2</v>
      </c>
      <c r="M682">
        <v>5</v>
      </c>
      <c r="N682" t="str">
        <f t="shared" si="80"/>
        <v>Instagram</v>
      </c>
      <c r="O682">
        <f t="shared" si="81"/>
        <v>1</v>
      </c>
      <c r="P682" t="str">
        <f t="shared" si="82"/>
        <v>7.2</v>
      </c>
      <c r="Q682" t="str">
        <f t="shared" si="83"/>
        <v>OK</v>
      </c>
      <c r="R682" t="str">
        <f t="shared" si="86"/>
        <v>medium</v>
      </c>
      <c r="S682" t="str">
        <f t="shared" si="84"/>
        <v>Medium</v>
      </c>
      <c r="T682" t="str">
        <f t="shared" si="85"/>
        <v>5</v>
      </c>
      <c r="U682">
        <v>2.7</v>
      </c>
      <c r="V682" t="b">
        <f t="shared" si="87"/>
        <v>1</v>
      </c>
    </row>
    <row r="683" spans="1:22" x14ac:dyDescent="0.25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5.8</v>
      </c>
      <c r="G683" t="s">
        <v>26</v>
      </c>
      <c r="H683" t="s">
        <v>17</v>
      </c>
      <c r="I683">
        <v>6.6</v>
      </c>
      <c r="J683">
        <v>6</v>
      </c>
      <c r="K683" t="s">
        <v>24</v>
      </c>
      <c r="L683">
        <v>3</v>
      </c>
      <c r="M683">
        <v>7</v>
      </c>
      <c r="N683" t="str">
        <f t="shared" si="80"/>
        <v>Tiktok</v>
      </c>
      <c r="O683">
        <f t="shared" si="81"/>
        <v>2</v>
      </c>
      <c r="P683" t="str">
        <f t="shared" si="82"/>
        <v>6.6</v>
      </c>
      <c r="Q683" t="str">
        <f t="shared" si="83"/>
        <v>OK</v>
      </c>
      <c r="R683" t="b">
        <f t="shared" si="86"/>
        <v>1</v>
      </c>
      <c r="S683" t="str">
        <f t="shared" si="84"/>
        <v>High</v>
      </c>
      <c r="T683" t="str">
        <f t="shared" si="85"/>
        <v>7</v>
      </c>
      <c r="U683">
        <v>2.7</v>
      </c>
      <c r="V683" t="b">
        <f t="shared" si="87"/>
        <v>1</v>
      </c>
    </row>
    <row r="684" spans="1:22" x14ac:dyDescent="0.25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6.1</v>
      </c>
      <c r="G684" t="s">
        <v>22</v>
      </c>
      <c r="H684" t="s">
        <v>17</v>
      </c>
      <c r="I684">
        <v>6.4</v>
      </c>
      <c r="J684">
        <v>5</v>
      </c>
      <c r="K684" t="s">
        <v>24</v>
      </c>
      <c r="L684">
        <v>4</v>
      </c>
      <c r="M684">
        <v>8</v>
      </c>
      <c r="N684" t="str">
        <f t="shared" si="80"/>
        <v>Twitter</v>
      </c>
      <c r="O684">
        <f t="shared" si="81"/>
        <v>3</v>
      </c>
      <c r="P684" t="str">
        <f t="shared" si="82"/>
        <v>6.4</v>
      </c>
      <c r="Q684" t="str">
        <f t="shared" si="83"/>
        <v>OK</v>
      </c>
      <c r="R684" t="b">
        <f t="shared" si="86"/>
        <v>1</v>
      </c>
      <c r="S684" t="str">
        <f t="shared" si="84"/>
        <v>High</v>
      </c>
      <c r="T684" t="str">
        <f t="shared" si="85"/>
        <v>8</v>
      </c>
      <c r="U684">
        <v>2.6</v>
      </c>
      <c r="V684" t="b">
        <f t="shared" si="87"/>
        <v>1</v>
      </c>
    </row>
    <row r="685" spans="1:22" x14ac:dyDescent="0.25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4.8</v>
      </c>
      <c r="G685" t="s">
        <v>32</v>
      </c>
      <c r="H685" t="s">
        <v>23</v>
      </c>
      <c r="I685">
        <v>7.1</v>
      </c>
      <c r="J685">
        <v>7</v>
      </c>
      <c r="K685" t="s">
        <v>18</v>
      </c>
      <c r="L685">
        <v>2</v>
      </c>
      <c r="M685">
        <v>5</v>
      </c>
      <c r="N685" t="str">
        <f t="shared" si="80"/>
        <v>Facebook</v>
      </c>
      <c r="O685">
        <f t="shared" si="81"/>
        <v>0</v>
      </c>
      <c r="P685" t="str">
        <f t="shared" si="82"/>
        <v>7.1</v>
      </c>
      <c r="Q685" t="str">
        <f t="shared" si="83"/>
        <v>OK</v>
      </c>
      <c r="R685" t="str">
        <f t="shared" si="86"/>
        <v>medium</v>
      </c>
      <c r="S685" t="str">
        <f t="shared" si="84"/>
        <v>Medium</v>
      </c>
      <c r="T685" t="str">
        <f t="shared" si="85"/>
        <v>5</v>
      </c>
      <c r="U685">
        <v>2.6</v>
      </c>
      <c r="V685" t="b">
        <f t="shared" si="87"/>
        <v>1</v>
      </c>
    </row>
    <row r="686" spans="1:22" x14ac:dyDescent="0.25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6.7</v>
      </c>
      <c r="G686" t="s">
        <v>16</v>
      </c>
      <c r="H686" t="s">
        <v>17</v>
      </c>
      <c r="I686">
        <v>6</v>
      </c>
      <c r="J686">
        <v>4</v>
      </c>
      <c r="K686" t="s">
        <v>24</v>
      </c>
      <c r="L686">
        <v>5</v>
      </c>
      <c r="M686">
        <v>9</v>
      </c>
      <c r="N686" t="str">
        <f t="shared" si="80"/>
        <v>Instagram</v>
      </c>
      <c r="O686">
        <f t="shared" si="81"/>
        <v>1</v>
      </c>
      <c r="P686" t="str">
        <f t="shared" si="82"/>
        <v>6</v>
      </c>
      <c r="Q686" t="str">
        <f t="shared" si="83"/>
        <v>OK</v>
      </c>
      <c r="R686" t="b">
        <f t="shared" si="86"/>
        <v>1</v>
      </c>
      <c r="S686" t="str">
        <f t="shared" si="84"/>
        <v>High</v>
      </c>
      <c r="T686" t="str">
        <f t="shared" si="85"/>
        <v>9</v>
      </c>
      <c r="U686">
        <v>2.6</v>
      </c>
      <c r="V686" t="b">
        <f t="shared" si="87"/>
        <v>1</v>
      </c>
    </row>
    <row r="687" spans="1:22" x14ac:dyDescent="0.25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5.5</v>
      </c>
      <c r="G687" t="s">
        <v>144</v>
      </c>
      <c r="H687" t="s">
        <v>17</v>
      </c>
      <c r="I687">
        <v>6.8</v>
      </c>
      <c r="J687">
        <v>6</v>
      </c>
      <c r="K687" t="s">
        <v>18</v>
      </c>
      <c r="L687">
        <v>3</v>
      </c>
      <c r="M687">
        <v>7</v>
      </c>
      <c r="N687" t="str">
        <f t="shared" si="80"/>
        <v>Wechat</v>
      </c>
      <c r="O687">
        <f t="shared" si="81"/>
        <v>1</v>
      </c>
      <c r="P687" t="str">
        <f t="shared" si="82"/>
        <v>6.8</v>
      </c>
      <c r="Q687" t="str">
        <f t="shared" si="83"/>
        <v>OK</v>
      </c>
      <c r="R687" t="b">
        <f t="shared" si="86"/>
        <v>1</v>
      </c>
      <c r="S687" t="str">
        <f t="shared" si="84"/>
        <v>High</v>
      </c>
      <c r="T687" t="str">
        <f t="shared" si="85"/>
        <v>7</v>
      </c>
      <c r="U687">
        <v>2.6</v>
      </c>
      <c r="V687" t="b">
        <f t="shared" si="87"/>
        <v>1</v>
      </c>
    </row>
    <row r="688" spans="1:22" x14ac:dyDescent="0.25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4.2</v>
      </c>
      <c r="G688" t="s">
        <v>22</v>
      </c>
      <c r="H688" t="s">
        <v>23</v>
      </c>
      <c r="I688">
        <v>7.5</v>
      </c>
      <c r="J688">
        <v>8</v>
      </c>
      <c r="K688" t="s">
        <v>24</v>
      </c>
      <c r="L688">
        <v>2</v>
      </c>
      <c r="M688">
        <v>4</v>
      </c>
      <c r="N688" t="str">
        <f t="shared" si="80"/>
        <v>Twitter</v>
      </c>
      <c r="O688">
        <f t="shared" si="81"/>
        <v>3</v>
      </c>
      <c r="P688" t="str">
        <f t="shared" si="82"/>
        <v>7.5</v>
      </c>
      <c r="Q688" t="str">
        <f t="shared" si="83"/>
        <v>OK</v>
      </c>
      <c r="R688" t="str">
        <f t="shared" si="86"/>
        <v>medium</v>
      </c>
      <c r="S688" t="str">
        <f t="shared" si="84"/>
        <v>Low</v>
      </c>
      <c r="T688" t="str">
        <f t="shared" si="85"/>
        <v>4</v>
      </c>
      <c r="U688">
        <v>2.6</v>
      </c>
      <c r="V688" t="b">
        <f t="shared" si="87"/>
        <v>1</v>
      </c>
    </row>
    <row r="689" spans="1:22" x14ac:dyDescent="0.25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6.3</v>
      </c>
      <c r="G689" t="s">
        <v>26</v>
      </c>
      <c r="H689" t="s">
        <v>17</v>
      </c>
      <c r="I689">
        <v>6.2</v>
      </c>
      <c r="J689">
        <v>5</v>
      </c>
      <c r="K689" t="s">
        <v>24</v>
      </c>
      <c r="L689">
        <v>4</v>
      </c>
      <c r="M689">
        <v>8</v>
      </c>
      <c r="N689" t="str">
        <f t="shared" si="80"/>
        <v>Tiktok</v>
      </c>
      <c r="O689">
        <f t="shared" si="81"/>
        <v>2</v>
      </c>
      <c r="P689" t="str">
        <f t="shared" si="82"/>
        <v>6.2</v>
      </c>
      <c r="Q689" t="str">
        <f t="shared" si="83"/>
        <v>OK</v>
      </c>
      <c r="R689" t="b">
        <f t="shared" si="86"/>
        <v>1</v>
      </c>
      <c r="S689" t="str">
        <f t="shared" si="84"/>
        <v>High</v>
      </c>
      <c r="T689" t="str">
        <f t="shared" si="85"/>
        <v>8</v>
      </c>
      <c r="U689">
        <v>2.5</v>
      </c>
      <c r="V689" t="b">
        <f t="shared" si="87"/>
        <v>1</v>
      </c>
    </row>
    <row r="690" spans="1:22" x14ac:dyDescent="0.25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4.4000000000000004</v>
      </c>
      <c r="G690" t="s">
        <v>16</v>
      </c>
      <c r="H690" t="s">
        <v>23</v>
      </c>
      <c r="I690">
        <v>7.4</v>
      </c>
      <c r="J690">
        <v>7</v>
      </c>
      <c r="K690" t="s">
        <v>18</v>
      </c>
      <c r="L690">
        <v>2</v>
      </c>
      <c r="M690">
        <v>5</v>
      </c>
      <c r="N690" t="str">
        <f t="shared" si="80"/>
        <v>Instagram</v>
      </c>
      <c r="O690">
        <f t="shared" si="81"/>
        <v>1</v>
      </c>
      <c r="P690" t="str">
        <f t="shared" si="82"/>
        <v>7.4</v>
      </c>
      <c r="Q690" t="str">
        <f t="shared" si="83"/>
        <v>OK</v>
      </c>
      <c r="R690" t="str">
        <f t="shared" si="86"/>
        <v>medium</v>
      </c>
      <c r="S690" t="str">
        <f t="shared" si="84"/>
        <v>Medium</v>
      </c>
      <c r="T690" t="str">
        <f t="shared" si="85"/>
        <v>5</v>
      </c>
      <c r="U690">
        <v>2.5</v>
      </c>
      <c r="V690" t="b">
        <f t="shared" si="87"/>
        <v>1</v>
      </c>
    </row>
    <row r="691" spans="1:22" x14ac:dyDescent="0.25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6.5</v>
      </c>
      <c r="G691" t="s">
        <v>32</v>
      </c>
      <c r="H691" t="s">
        <v>17</v>
      </c>
      <c r="I691">
        <v>6.1</v>
      </c>
      <c r="J691">
        <v>5</v>
      </c>
      <c r="K691" t="s">
        <v>24</v>
      </c>
      <c r="L691">
        <v>4</v>
      </c>
      <c r="M691">
        <v>8</v>
      </c>
      <c r="N691" t="str">
        <f t="shared" si="80"/>
        <v>Facebook</v>
      </c>
      <c r="O691">
        <f t="shared" si="81"/>
        <v>0</v>
      </c>
      <c r="P691" t="str">
        <f t="shared" si="82"/>
        <v>6.1</v>
      </c>
      <c r="Q691" t="str">
        <f t="shared" si="83"/>
        <v>OK</v>
      </c>
      <c r="R691" t="b">
        <f t="shared" si="86"/>
        <v>1</v>
      </c>
      <c r="S691" t="str">
        <f t="shared" si="84"/>
        <v>High</v>
      </c>
      <c r="T691" t="str">
        <f t="shared" si="85"/>
        <v>8</v>
      </c>
      <c r="U691">
        <v>2.5</v>
      </c>
      <c r="V691" t="b">
        <f t="shared" si="87"/>
        <v>1</v>
      </c>
    </row>
    <row r="692" spans="1:22" x14ac:dyDescent="0.25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4.5999999999999996</v>
      </c>
      <c r="G692" t="s">
        <v>22</v>
      </c>
      <c r="H692" t="s">
        <v>23</v>
      </c>
      <c r="I692">
        <v>7.3</v>
      </c>
      <c r="J692">
        <v>7</v>
      </c>
      <c r="K692" t="s">
        <v>18</v>
      </c>
      <c r="L692">
        <v>2</v>
      </c>
      <c r="M692">
        <v>5</v>
      </c>
      <c r="N692" t="str">
        <f t="shared" si="80"/>
        <v>Twitter</v>
      </c>
      <c r="O692">
        <f t="shared" si="81"/>
        <v>3</v>
      </c>
      <c r="P692" t="str">
        <f t="shared" si="82"/>
        <v>7.3</v>
      </c>
      <c r="Q692" t="str">
        <f t="shared" si="83"/>
        <v>OK</v>
      </c>
      <c r="R692" t="str">
        <f t="shared" si="86"/>
        <v>medium</v>
      </c>
      <c r="S692" t="str">
        <f t="shared" si="84"/>
        <v>Medium</v>
      </c>
      <c r="T692" t="str">
        <f t="shared" si="85"/>
        <v>5</v>
      </c>
      <c r="U692">
        <v>2.5</v>
      </c>
      <c r="V692" t="b">
        <f t="shared" si="87"/>
        <v>1</v>
      </c>
    </row>
    <row r="693" spans="1:22" x14ac:dyDescent="0.25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5.9</v>
      </c>
      <c r="G693" t="s">
        <v>16</v>
      </c>
      <c r="H693" t="s">
        <v>17</v>
      </c>
      <c r="I693">
        <v>6.5</v>
      </c>
      <c r="J693">
        <v>6</v>
      </c>
      <c r="K693" t="s">
        <v>24</v>
      </c>
      <c r="L693">
        <v>3</v>
      </c>
      <c r="M693">
        <v>7</v>
      </c>
      <c r="N693" t="str">
        <f t="shared" si="80"/>
        <v>Instagram</v>
      </c>
      <c r="O693">
        <f t="shared" si="81"/>
        <v>1</v>
      </c>
      <c r="P693" t="str">
        <f t="shared" si="82"/>
        <v>6.5</v>
      </c>
      <c r="Q693" t="str">
        <f t="shared" si="83"/>
        <v>OK</v>
      </c>
      <c r="R693" t="b">
        <f t="shared" si="86"/>
        <v>1</v>
      </c>
      <c r="S693" t="str">
        <f t="shared" si="84"/>
        <v>High</v>
      </c>
      <c r="T693" t="str">
        <f t="shared" si="85"/>
        <v>7</v>
      </c>
      <c r="U693">
        <v>2.5</v>
      </c>
      <c r="V693" t="b">
        <f t="shared" si="87"/>
        <v>1</v>
      </c>
    </row>
    <row r="694" spans="1:22" x14ac:dyDescent="0.25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7</v>
      </c>
      <c r="G694" t="s">
        <v>26</v>
      </c>
      <c r="H694" t="s">
        <v>17</v>
      </c>
      <c r="I694">
        <v>5.8</v>
      </c>
      <c r="J694">
        <v>4</v>
      </c>
      <c r="K694" t="s">
        <v>24</v>
      </c>
      <c r="L694">
        <v>5</v>
      </c>
      <c r="M694">
        <v>9</v>
      </c>
      <c r="N694" t="str">
        <f t="shared" si="80"/>
        <v>Tiktok</v>
      </c>
      <c r="O694">
        <f t="shared" si="81"/>
        <v>2</v>
      </c>
      <c r="P694" t="str">
        <f t="shared" si="82"/>
        <v>5.8</v>
      </c>
      <c r="Q694" t="str">
        <f t="shared" si="83"/>
        <v>OK</v>
      </c>
      <c r="R694" t="b">
        <f t="shared" si="86"/>
        <v>1</v>
      </c>
      <c r="S694" t="str">
        <f t="shared" si="84"/>
        <v>High</v>
      </c>
      <c r="T694" t="str">
        <f t="shared" si="85"/>
        <v>9</v>
      </c>
      <c r="U694">
        <v>2.4</v>
      </c>
      <c r="V694" t="b">
        <f t="shared" si="87"/>
        <v>1</v>
      </c>
    </row>
    <row r="695" spans="1:22" x14ac:dyDescent="0.25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4.5</v>
      </c>
      <c r="G695" t="s">
        <v>32</v>
      </c>
      <c r="H695" t="s">
        <v>23</v>
      </c>
      <c r="I695">
        <v>7.3</v>
      </c>
      <c r="J695">
        <v>7</v>
      </c>
      <c r="K695" t="s">
        <v>18</v>
      </c>
      <c r="L695">
        <v>2</v>
      </c>
      <c r="M695">
        <v>5</v>
      </c>
      <c r="N695" t="str">
        <f t="shared" si="80"/>
        <v>Facebook</v>
      </c>
      <c r="O695">
        <f t="shared" si="81"/>
        <v>0</v>
      </c>
      <c r="P695" t="str">
        <f t="shared" si="82"/>
        <v>7.3</v>
      </c>
      <c r="Q695" t="str">
        <f t="shared" si="83"/>
        <v>OK</v>
      </c>
      <c r="R695" t="str">
        <f t="shared" si="86"/>
        <v>medium</v>
      </c>
      <c r="S695" t="str">
        <f t="shared" si="84"/>
        <v>Medium</v>
      </c>
      <c r="T695" t="str">
        <f t="shared" si="85"/>
        <v>5</v>
      </c>
      <c r="U695">
        <v>2.4</v>
      </c>
      <c r="V695" t="b">
        <f t="shared" si="87"/>
        <v>1</v>
      </c>
    </row>
    <row r="696" spans="1:22" x14ac:dyDescent="0.25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6.6</v>
      </c>
      <c r="G696" t="s">
        <v>16</v>
      </c>
      <c r="H696" t="s">
        <v>17</v>
      </c>
      <c r="I696">
        <v>6.1</v>
      </c>
      <c r="J696">
        <v>5</v>
      </c>
      <c r="K696" t="s">
        <v>24</v>
      </c>
      <c r="L696">
        <v>4</v>
      </c>
      <c r="M696">
        <v>8</v>
      </c>
      <c r="N696" t="str">
        <f t="shared" si="80"/>
        <v>Instagram</v>
      </c>
      <c r="O696">
        <f t="shared" si="81"/>
        <v>1</v>
      </c>
      <c r="P696" t="str">
        <f t="shared" si="82"/>
        <v>6.1</v>
      </c>
      <c r="Q696" t="str">
        <f t="shared" si="83"/>
        <v>OK</v>
      </c>
      <c r="R696" t="b">
        <f t="shared" si="86"/>
        <v>1</v>
      </c>
      <c r="S696" t="str">
        <f t="shared" si="84"/>
        <v>High</v>
      </c>
      <c r="T696" t="str">
        <f t="shared" si="85"/>
        <v>8</v>
      </c>
      <c r="U696">
        <v>2.4</v>
      </c>
      <c r="V696" t="b">
        <f t="shared" si="87"/>
        <v>1</v>
      </c>
    </row>
    <row r="697" spans="1:22" x14ac:dyDescent="0.25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5.5</v>
      </c>
      <c r="G697" t="s">
        <v>22</v>
      </c>
      <c r="H697" t="s">
        <v>17</v>
      </c>
      <c r="I697">
        <v>6.7</v>
      </c>
      <c r="J697">
        <v>6</v>
      </c>
      <c r="K697" t="s">
        <v>18</v>
      </c>
      <c r="L697">
        <v>3</v>
      </c>
      <c r="M697">
        <v>7</v>
      </c>
      <c r="N697" t="str">
        <f t="shared" si="80"/>
        <v>Twitter</v>
      </c>
      <c r="O697">
        <f t="shared" si="81"/>
        <v>3</v>
      </c>
      <c r="P697" t="str">
        <f t="shared" si="82"/>
        <v>6.7</v>
      </c>
      <c r="Q697" t="str">
        <f t="shared" si="83"/>
        <v>OK</v>
      </c>
      <c r="R697" t="b">
        <f t="shared" si="86"/>
        <v>1</v>
      </c>
      <c r="S697" t="str">
        <f t="shared" si="84"/>
        <v>High</v>
      </c>
      <c r="T697" t="str">
        <f t="shared" si="85"/>
        <v>7</v>
      </c>
      <c r="U697">
        <v>2.4</v>
      </c>
      <c r="V697" t="b">
        <f t="shared" si="87"/>
        <v>1</v>
      </c>
    </row>
    <row r="698" spans="1:22" x14ac:dyDescent="0.25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6.3</v>
      </c>
      <c r="G698" t="s">
        <v>26</v>
      </c>
      <c r="H698" t="s">
        <v>17</v>
      </c>
      <c r="I698">
        <v>6.2</v>
      </c>
      <c r="J698">
        <v>5</v>
      </c>
      <c r="K698" t="s">
        <v>24</v>
      </c>
      <c r="L698">
        <v>4</v>
      </c>
      <c r="M698">
        <v>8</v>
      </c>
      <c r="N698" t="str">
        <f t="shared" si="80"/>
        <v>Tiktok</v>
      </c>
      <c r="O698">
        <f t="shared" si="81"/>
        <v>2</v>
      </c>
      <c r="P698" t="str">
        <f t="shared" si="82"/>
        <v>6.2</v>
      </c>
      <c r="Q698" t="str">
        <f t="shared" si="83"/>
        <v>OK</v>
      </c>
      <c r="R698" t="b">
        <f t="shared" si="86"/>
        <v>1</v>
      </c>
      <c r="S698" t="str">
        <f t="shared" si="84"/>
        <v>High</v>
      </c>
      <c r="T698" t="str">
        <f t="shared" si="85"/>
        <v>8</v>
      </c>
      <c r="U698">
        <v>2.2999999999999998</v>
      </c>
      <c r="V698" t="b">
        <f t="shared" si="87"/>
        <v>1</v>
      </c>
    </row>
    <row r="699" spans="1:22" x14ac:dyDescent="0.25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4.8</v>
      </c>
      <c r="G699" t="s">
        <v>32</v>
      </c>
      <c r="H699" t="s">
        <v>23</v>
      </c>
      <c r="I699">
        <v>7.1</v>
      </c>
      <c r="J699">
        <v>7</v>
      </c>
      <c r="K699" t="s">
        <v>18</v>
      </c>
      <c r="L699">
        <v>2</v>
      </c>
      <c r="M699">
        <v>5</v>
      </c>
      <c r="N699" t="str">
        <f t="shared" si="80"/>
        <v>Facebook</v>
      </c>
      <c r="O699">
        <f t="shared" si="81"/>
        <v>0</v>
      </c>
      <c r="P699" t="str">
        <f t="shared" si="82"/>
        <v>7.1</v>
      </c>
      <c r="Q699" t="str">
        <f t="shared" si="83"/>
        <v>OK</v>
      </c>
      <c r="R699" t="str">
        <f t="shared" si="86"/>
        <v>medium</v>
      </c>
      <c r="S699" t="str">
        <f t="shared" si="84"/>
        <v>Medium</v>
      </c>
      <c r="T699" t="str">
        <f t="shared" si="85"/>
        <v>5</v>
      </c>
      <c r="U699">
        <v>2.2999999999999998</v>
      </c>
      <c r="V699" t="b">
        <f t="shared" si="87"/>
        <v>1</v>
      </c>
    </row>
    <row r="700" spans="1:22" x14ac:dyDescent="0.25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5.7</v>
      </c>
      <c r="G700" t="s">
        <v>16</v>
      </c>
      <c r="H700" t="s">
        <v>17</v>
      </c>
      <c r="I700">
        <v>6.6</v>
      </c>
      <c r="J700">
        <v>6</v>
      </c>
      <c r="K700" t="s">
        <v>24</v>
      </c>
      <c r="L700">
        <v>3</v>
      </c>
      <c r="M700">
        <v>7</v>
      </c>
      <c r="N700" t="str">
        <f t="shared" si="80"/>
        <v>Instagram</v>
      </c>
      <c r="O700">
        <f t="shared" si="81"/>
        <v>1</v>
      </c>
      <c r="P700" t="str">
        <f t="shared" si="82"/>
        <v>6.6</v>
      </c>
      <c r="Q700" t="str">
        <f t="shared" si="83"/>
        <v>OK</v>
      </c>
      <c r="R700" t="b">
        <f t="shared" si="86"/>
        <v>1</v>
      </c>
      <c r="S700" t="str">
        <f t="shared" si="84"/>
        <v>High</v>
      </c>
      <c r="T700" t="str">
        <f t="shared" si="85"/>
        <v>7</v>
      </c>
      <c r="U700">
        <v>2.2999999999999998</v>
      </c>
      <c r="V700" t="b">
        <f t="shared" si="87"/>
        <v>1</v>
      </c>
    </row>
    <row r="701" spans="1:22" x14ac:dyDescent="0.25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6.2</v>
      </c>
      <c r="G701" t="s">
        <v>22</v>
      </c>
      <c r="H701" t="s">
        <v>17</v>
      </c>
      <c r="I701">
        <v>6.3</v>
      </c>
      <c r="J701">
        <v>5</v>
      </c>
      <c r="K701" t="s">
        <v>24</v>
      </c>
      <c r="L701">
        <v>4</v>
      </c>
      <c r="M701">
        <v>8</v>
      </c>
      <c r="N701" t="str">
        <f t="shared" si="80"/>
        <v>Twitter</v>
      </c>
      <c r="O701">
        <f t="shared" si="81"/>
        <v>3</v>
      </c>
      <c r="P701" t="str">
        <f t="shared" si="82"/>
        <v>6.3</v>
      </c>
      <c r="Q701" t="str">
        <f t="shared" si="83"/>
        <v>OK</v>
      </c>
      <c r="R701" t="b">
        <f t="shared" si="86"/>
        <v>1</v>
      </c>
      <c r="S701" t="str">
        <f t="shared" si="84"/>
        <v>High</v>
      </c>
      <c r="T701" t="str">
        <f t="shared" si="85"/>
        <v>8</v>
      </c>
      <c r="U701">
        <v>2.2999999999999998</v>
      </c>
      <c r="V701" t="b">
        <f t="shared" si="87"/>
        <v>1</v>
      </c>
    </row>
    <row r="702" spans="1:22" x14ac:dyDescent="0.25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4.7</v>
      </c>
      <c r="G702" t="s">
        <v>26</v>
      </c>
      <c r="H702" t="s">
        <v>23</v>
      </c>
      <c r="I702">
        <v>7.2</v>
      </c>
      <c r="J702">
        <v>7</v>
      </c>
      <c r="K702" t="s">
        <v>18</v>
      </c>
      <c r="L702">
        <v>2</v>
      </c>
      <c r="M702">
        <v>5</v>
      </c>
      <c r="N702" t="str">
        <f t="shared" si="80"/>
        <v>Tiktok</v>
      </c>
      <c r="O702">
        <f t="shared" si="81"/>
        <v>2</v>
      </c>
      <c r="P702" t="str">
        <f t="shared" si="82"/>
        <v>7.2</v>
      </c>
      <c r="Q702" t="str">
        <f t="shared" si="83"/>
        <v>OK</v>
      </c>
      <c r="R702" t="str">
        <f t="shared" si="86"/>
        <v>medium</v>
      </c>
      <c r="S702" t="str">
        <f t="shared" si="84"/>
        <v>Medium</v>
      </c>
      <c r="T702" t="str">
        <f t="shared" si="85"/>
        <v>5</v>
      </c>
      <c r="U702">
        <v>2.2000000000000002</v>
      </c>
      <c r="V702" t="b">
        <f t="shared" si="87"/>
        <v>1</v>
      </c>
    </row>
    <row r="703" spans="1:22" x14ac:dyDescent="0.25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6.8</v>
      </c>
      <c r="G703" t="s">
        <v>16</v>
      </c>
      <c r="H703" t="s">
        <v>17</v>
      </c>
      <c r="I703">
        <v>5.9</v>
      </c>
      <c r="J703">
        <v>4</v>
      </c>
      <c r="K703" t="s">
        <v>24</v>
      </c>
      <c r="L703">
        <v>5</v>
      </c>
      <c r="M703">
        <v>9</v>
      </c>
      <c r="N703" t="str">
        <f t="shared" si="80"/>
        <v>Instagram</v>
      </c>
      <c r="O703">
        <f t="shared" si="81"/>
        <v>1</v>
      </c>
      <c r="P703" t="str">
        <f t="shared" si="82"/>
        <v>5.9</v>
      </c>
      <c r="Q703" t="str">
        <f t="shared" si="83"/>
        <v>OK</v>
      </c>
      <c r="R703" t="b">
        <f t="shared" si="86"/>
        <v>1</v>
      </c>
      <c r="S703" t="str">
        <f t="shared" si="84"/>
        <v>High</v>
      </c>
      <c r="T703" t="str">
        <f t="shared" si="85"/>
        <v>9</v>
      </c>
      <c r="U703">
        <v>2.2000000000000002</v>
      </c>
      <c r="V703" t="b">
        <f t="shared" si="87"/>
        <v>1</v>
      </c>
    </row>
    <row r="704" spans="1:22" x14ac:dyDescent="0.25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5.6</v>
      </c>
      <c r="G704" t="s">
        <v>144</v>
      </c>
      <c r="H704" t="s">
        <v>17</v>
      </c>
      <c r="I704">
        <v>6.7</v>
      </c>
      <c r="J704">
        <v>6</v>
      </c>
      <c r="K704" t="s">
        <v>18</v>
      </c>
      <c r="L704">
        <v>3</v>
      </c>
      <c r="M704">
        <v>7</v>
      </c>
      <c r="N704" t="str">
        <f t="shared" si="80"/>
        <v>Wechat</v>
      </c>
      <c r="O704">
        <f t="shared" si="81"/>
        <v>1</v>
      </c>
      <c r="P704" t="str">
        <f t="shared" si="82"/>
        <v>6.7</v>
      </c>
      <c r="Q704" t="str">
        <f t="shared" si="83"/>
        <v>OK</v>
      </c>
      <c r="R704" t="b">
        <f t="shared" si="86"/>
        <v>1</v>
      </c>
      <c r="S704" t="str">
        <f t="shared" si="84"/>
        <v>High</v>
      </c>
      <c r="T704" t="str">
        <f t="shared" si="85"/>
        <v>7</v>
      </c>
      <c r="U704">
        <v>2.1</v>
      </c>
      <c r="V704" t="b">
        <f t="shared" si="87"/>
        <v>1</v>
      </c>
    </row>
    <row r="705" spans="1:22" x14ac:dyDescent="0.25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4.3</v>
      </c>
      <c r="G705" t="s">
        <v>22</v>
      </c>
      <c r="H705" t="s">
        <v>23</v>
      </c>
      <c r="I705">
        <v>7.5</v>
      </c>
      <c r="J705">
        <v>8</v>
      </c>
      <c r="K705" t="s">
        <v>24</v>
      </c>
      <c r="L705">
        <v>2</v>
      </c>
      <c r="M705">
        <v>4</v>
      </c>
      <c r="N705" t="str">
        <f t="shared" si="80"/>
        <v>Twitter</v>
      </c>
      <c r="O705">
        <f t="shared" si="81"/>
        <v>3</v>
      </c>
      <c r="P705" t="str">
        <f t="shared" si="82"/>
        <v>7.5</v>
      </c>
      <c r="Q705" t="str">
        <f t="shared" si="83"/>
        <v>OK</v>
      </c>
      <c r="R705" t="str">
        <f t="shared" si="86"/>
        <v>medium</v>
      </c>
      <c r="S705" t="str">
        <f t="shared" si="84"/>
        <v>Low</v>
      </c>
      <c r="T705" t="str">
        <f t="shared" si="85"/>
        <v>4</v>
      </c>
      <c r="U705">
        <v>2</v>
      </c>
      <c r="V705" t="b">
        <f t="shared" si="87"/>
        <v>1</v>
      </c>
    </row>
    <row r="706" spans="1:22" x14ac:dyDescent="0.25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6.2</v>
      </c>
      <c r="G706" t="s">
        <v>32</v>
      </c>
      <c r="H706" t="s">
        <v>17</v>
      </c>
      <c r="I706">
        <v>6.3</v>
      </c>
      <c r="J706">
        <v>5</v>
      </c>
      <c r="K706" t="s">
        <v>24</v>
      </c>
      <c r="L706">
        <v>4</v>
      </c>
      <c r="M706">
        <v>8</v>
      </c>
      <c r="N706" t="str">
        <f t="shared" si="80"/>
        <v>Facebook</v>
      </c>
      <c r="O706">
        <f t="shared" si="81"/>
        <v>0</v>
      </c>
      <c r="P706" t="str">
        <f t="shared" si="82"/>
        <v>6.3</v>
      </c>
      <c r="Q706" t="str">
        <f t="shared" si="83"/>
        <v>OK</v>
      </c>
      <c r="R706" t="b">
        <f t="shared" si="86"/>
        <v>1</v>
      </c>
      <c r="S706" t="str">
        <f t="shared" si="84"/>
        <v>High</v>
      </c>
      <c r="T706" t="str">
        <f t="shared" si="85"/>
        <v>8</v>
      </c>
      <c r="U706">
        <v>1.5</v>
      </c>
      <c r="V706" t="b">
        <f t="shared" si="87"/>
        <v>1</v>
      </c>
    </row>
  </sheetData>
  <sortState ref="A2:T706">
    <sortCondition descending="1" ref="T2"/>
  </sortState>
  <conditionalFormatting sqref="Q2:Q70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Q2:Q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{C1B72D74-FA5B-4C3F-A2B1-03F2CE547EC1}</x14:id>
        </ext>
      </extLst>
    </cfRule>
    <cfRule type="iconSet" priority="16">
      <iconSet iconSet="3Flags">
        <cfvo type="percent" val="0"/>
        <cfvo type="percent" val="33"/>
        <cfvo type="percent" val="67"/>
      </iconSet>
    </cfRule>
  </conditionalFormatting>
  <conditionalFormatting sqref="P1:P104857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{67331999-D990-4CCD-B144-6E49D86C4F1A}</x14:id>
        </ext>
      </extLst>
    </cfRule>
  </conditionalFormatting>
  <conditionalFormatting sqref="P2:P70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S1"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Q1:Q1048576 R1:S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:S1048576">
    <cfRule type="colorScale" priority="6">
      <colorScale>
        <cfvo type="min"/>
        <cfvo type="max"/>
        <color rgb="FFFF7128"/>
        <color theme="8" tint="-0.249977111117893"/>
      </colorScale>
    </cfRule>
  </conditionalFormatting>
  <conditionalFormatting sqref="T1:T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max"/>
        <color rgb="FFFF7128"/>
        <color theme="3" tint="-0.249977111117893"/>
      </colorScale>
    </cfRule>
  </conditionalFormatting>
  <conditionalFormatting sqref="V1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V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B72D74-FA5B-4C3F-A2B1-03F2CE547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Q2:Q6</xm:sqref>
        </x14:conditionalFormatting>
        <x14:conditionalFormatting xmlns:xm="http://schemas.microsoft.com/office/excel/2006/main">
          <x14:cfRule type="dataBar" id="{67331999-D990-4CCD-B144-6E49D86C4F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Students Social Media Addiction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</dc:creator>
  <cp:lastModifiedBy>Hi</cp:lastModifiedBy>
  <dcterms:created xsi:type="dcterms:W3CDTF">2026-01-23T03:30:34Z</dcterms:created>
  <dcterms:modified xsi:type="dcterms:W3CDTF">2026-01-26T01:17:00Z</dcterms:modified>
</cp:coreProperties>
</file>